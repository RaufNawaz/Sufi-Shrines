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Regions" sheetId="3" state="visible" r:id="rId5"/>
    <sheet name="Line Items" sheetId="4" state="visible" r:id="rId6"/>
    <sheet name="Sources" sheetId="5" state="visible" r:id="rId7"/>
  </sheets>
  <definedNames>
    <definedName function="false" hidden="true" localSheetId="3" name="_xlnm._FilterDatabase" vbProcedure="false">'Line Items'!$A$4:$I$210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<sst xmlns="http://schemas.openxmlformats.org/spreadsheetml/2006/main" count="1113" uniqueCount="509">
  <si>
    <t xml:space="preserve">Mapping the Shrines of Pakistan: costed expansion, December 2026 to December 2027</t>
  </si>
  <si>
    <t xml:space="preserve">Prepared by Rauf Nawaz for discussion with Professor Teren Sevea, 13 October 2026. Estimates, not quotations; every figure traces to the Assumptions sheet.</t>
  </si>
  <si>
    <t xml:space="preserve">Exchange rate (PKR per USD)</t>
  </si>
  <si>
    <t xml:space="preserve">Category</t>
  </si>
  <si>
    <t xml:space="preserve">Tier 1 adds (USD)</t>
  </si>
  <si>
    <t xml:space="preserve">Tier 2 adds (USD)</t>
  </si>
  <si>
    <t xml:space="preserve">Tier 3 adds (USD)</t>
  </si>
  <si>
    <t xml:space="preserve">Tier 1 total (USD)</t>
  </si>
  <si>
    <t xml:space="preserve">Tier 2 cumulative (USD)</t>
  </si>
  <si>
    <t xml:space="preserve">Tier 3 cumulative (USD)</t>
  </si>
  <si>
    <t xml:space="preserve">Tier 3 cumulative (PKR)</t>
  </si>
  <si>
    <t xml:space="preserve">Fieldwork teams and travel</t>
  </si>
  <si>
    <t xml:space="preserve">Interviews</t>
  </si>
  <si>
    <t xml:space="preserve">Data and coding</t>
  </si>
  <si>
    <t xml:space="preserve">Principal investigator travel</t>
  </si>
  <si>
    <t xml:space="preserve">Urs and qawwali recording</t>
  </si>
  <si>
    <t xml:space="preserve">Oral histories</t>
  </si>
  <si>
    <t xml:space="preserve">Digitisation of books</t>
  </si>
  <si>
    <t xml:space="preserve">Equipment</t>
  </si>
  <si>
    <t xml:space="preserve">Running costs</t>
  </si>
  <si>
    <t xml:space="preserve">Dissemination</t>
  </si>
  <si>
    <t xml:space="preserve">Subtotal</t>
  </si>
  <si>
    <t xml:space="preserve">Contingency</t>
  </si>
  <si>
    <t xml:space="preserve">Total</t>
  </si>
  <si>
    <t xml:space="preserve">Scale and unit cost</t>
  </si>
  <si>
    <t xml:space="preserve">Shrines coded (cumulative)</t>
  </si>
  <si>
    <t xml:space="preserve">Total cost per shrine coded (all costs)</t>
  </si>
  <si>
    <t xml:space="preserve">Books digitised (cumulative)</t>
  </si>
  <si>
    <t xml:space="preserve">Urs and qawwali events recorded (cumulative)</t>
  </si>
  <si>
    <t xml:space="preserve">Interviews (cumulative)</t>
  </si>
  <si>
    <t xml:space="preserve">Funding already requested</t>
  </si>
  <si>
    <t xml:space="preserve">Mittal Institute Winter Session Grant (pending, due 15 October 2026)</t>
  </si>
  <si>
    <t xml:space="preserve">Tier 1 balance still to raise</t>
  </si>
  <si>
    <t xml:space="preserve">Tiers 2 and 3 to raise</t>
  </si>
  <si>
    <t xml:space="preserve">Tier 1, Lahore and Pakpattan core: the 36 shrine winter sample in the Mittal proposal, carried through the year with oral histories, three urs recordings and the first 30 books digitised.</t>
  </si>
  <si>
    <t xml:space="preserve">Tier 2, Punjab expansion (summer 2027): Multan, Uch Sharif and Bahawalpur, Jhang, Okara, Kasur, Taunsa and Dera Ghazi Khan; two teams in parallel; 60 more books.</t>
  </si>
  <si>
    <t xml:space="preserve">Tier 3, beyond Punjab (autumn 2027): Karachi, Thatta, Sehwan, Hyderabad and Bhit Shah in Sindh, Islamabad and Rawalpindi, and Peshawar, with locally hired Sindhi and Pashto speaking enumerators.</t>
  </si>
  <si>
    <t xml:space="preserve">Excluded: Balochistan, for reasons of security and access; Rauf's own time, which is unpaid; lodging in Lahore, which family provides.</t>
  </si>
  <si>
    <t xml:space="preserve">Colour code: blue text is an input, green text links to another sheet, black text is a formula. Yellow rows on the Assumptions sheet are judgement calls to confirm.</t>
  </si>
  <si>
    <t xml:space="preserve">Assumptions and unit costs</t>
  </si>
  <si>
    <t xml:space="preserve">Blue cells are inputs: change them and every sheet recalculates. Yellow rows are judgement calls Rauf should confirm before the budget goes to a funder.</t>
  </si>
  <si>
    <t xml:space="preserve">Key</t>
  </si>
  <si>
    <t xml:space="preserve">Assumption</t>
  </si>
  <si>
    <t xml:space="preserve">Value</t>
  </si>
  <si>
    <t xml:space="preserve">Unit</t>
  </si>
  <si>
    <t xml:space="preserve">Basis and source</t>
  </si>
  <si>
    <t xml:space="preserve">fx</t>
  </si>
  <si>
    <t xml:space="preserve">Exchange rate</t>
  </si>
  <si>
    <t xml:space="preserve">PKR per USD</t>
  </si>
  <si>
    <t xml:space="preserve">Rupee closed at 277.11 per USD on 30 September 2026 (ProPakistani). Revisit at submission.</t>
  </si>
  <si>
    <t xml:space="preserve">contingency</t>
  </si>
  <si>
    <t xml:space="preserve">share of subtotal</t>
  </si>
  <si>
    <t xml:space="preserve">Standard allowance for fare and price movement; the rupee and fuel linked bus fares both move.</t>
  </si>
  <si>
    <t xml:space="preserve">enum_day</t>
  </si>
  <si>
    <t xml:space="preserve">Enumerator day rate</t>
  </si>
  <si>
    <t xml:space="preserve">USD per day</t>
  </si>
  <si>
    <t xml:space="preserve">The project's own rate in the Mittal budget ($450 for 30 enumerator days), about PKR 4,150 a day. Punjab minimum wage is PKR 40,000 a month from 1 July 2025 (WageIndicator), about PKR 1,540 a working day, so the rate is roughly 2.7 times the minimum.</t>
  </si>
  <si>
    <t xml:space="preserve">coord_day</t>
  </si>
  <si>
    <t xml:space="preserve">Field coordinator day rate</t>
  </si>
  <si>
    <t xml:space="preserve">Assumption: a senior enumerator who supervises outstation teams, checks forms daily and manages consent records.</t>
  </si>
  <si>
    <t xml:space="preserve">fem_day</t>
  </si>
  <si>
    <t xml:space="preserve">Female enumerator day rate</t>
  </si>
  <si>
    <t xml:space="preserve">Same rate as other enumerators, so that the women's strand is not paid less.</t>
  </si>
  <si>
    <t xml:space="preserve">visits_per_shrine</t>
  </si>
  <si>
    <t xml:space="preserve">Observation visits per shrine</t>
  </si>
  <si>
    <t xml:space="preserve">visits</t>
  </si>
  <si>
    <t xml:space="preserve">Proposal design: one weekday visit and one Thursday evening visit.</t>
  </si>
  <si>
    <t xml:space="preserve">visits_per_day</t>
  </si>
  <si>
    <t xml:space="preserve">Visits completed per team day</t>
  </si>
  <si>
    <t xml:space="preserve">Mittal budget basis: 72 visits in 30 enumerator days.</t>
  </si>
  <si>
    <t xml:space="preserve">fem_days_per_shrine</t>
  </si>
  <si>
    <t xml:space="preserve">Female enumerator days per shrine</t>
  </si>
  <si>
    <t xml:space="preserve">days</t>
  </si>
  <si>
    <t xml:space="preserve">Assumption: women's spaces and women devotee interviews take about half a day per shrine.</t>
  </si>
  <si>
    <t xml:space="preserve">interviews_per_shrine</t>
  </si>
  <si>
    <t xml:space="preserve">Interviews per shrine</t>
  </si>
  <si>
    <t xml:space="preserve">interviews</t>
  </si>
  <si>
    <t xml:space="preserve">Proposal design: custodian or Auqaf manager, senior khadim, three devotees.</t>
  </si>
  <si>
    <t xml:space="preserve">devotees_per_shrine</t>
  </si>
  <si>
    <t xml:space="preserve">Devotee interviews per shrine</t>
  </si>
  <si>
    <t xml:space="preserve">Proposal design.</t>
  </si>
  <si>
    <t xml:space="preserve">interview_min</t>
  </si>
  <si>
    <t xml:space="preserve">Average interview length</t>
  </si>
  <si>
    <t xml:space="preserve">minutes</t>
  </si>
  <si>
    <t xml:space="preserve">Assumption for a semi structured interview in Urdu or Punjabi.</t>
  </si>
  <si>
    <t xml:space="preserve">token_pkr</t>
  </si>
  <si>
    <t xml:space="preserve">Token of thanks per devotee interview</t>
  </si>
  <si>
    <t xml:space="preserve">PKR</t>
  </si>
  <si>
    <t xml:space="preserve">Assumption: a small gift in kind or cash. Whether to offer one at all is an ethics question for CUHS and Rauf.</t>
  </si>
  <si>
    <t xml:space="preserve">transcribe_hr</t>
  </si>
  <si>
    <t xml:space="preserve">Transcription and translation, per audio hour</t>
  </si>
  <si>
    <t xml:space="preserve">USD per audio hour</t>
  </si>
  <si>
    <t xml:space="preserve">Assumption: local transcriber with a machine first pass. The Mittal line implies about $5.50; GoTranscript charges from $1.02 a minute ($61 an hour) for Urdu audio to English, the commercial ceiling.</t>
  </si>
  <si>
    <t xml:space="preserve">coding_days_per_shrine</t>
  </si>
  <si>
    <t xml:space="preserve">Data entry and coding per shrine</t>
  </si>
  <si>
    <t xml:space="preserve">Assumption: entering and double checking one shrine's function module and interview notes.</t>
  </si>
  <si>
    <t xml:space="preserve">hotel_night</t>
  </si>
  <si>
    <t xml:space="preserve">Budget hotel, per room night</t>
  </si>
  <si>
    <t xml:space="preserve">USD</t>
  </si>
  <si>
    <t xml:space="preserve">Champion Traveler lists one star hotels in Multan at $31 to $37 a night.</t>
  </si>
  <si>
    <t xml:space="preserve">room_share</t>
  </si>
  <si>
    <t xml:space="preserve">Travellers per room</t>
  </si>
  <si>
    <t xml:space="preserve">people</t>
  </si>
  <si>
    <t xml:space="preserve">Twin share for enumerators of the same sex; the female enumerator takes a separate room, so the formula rounds up.</t>
  </si>
  <si>
    <t xml:space="preserve">meals_day</t>
  </si>
  <si>
    <t xml:space="preserve">Meals per traveller per day outside home city</t>
  </si>
  <si>
    <t xml:space="preserve">Assumption below Champion Traveler's budget range of $14 to $28 a day, which also includes transport and sightseeing.</t>
  </si>
  <si>
    <t xml:space="preserve">local_transport_day</t>
  </si>
  <si>
    <t xml:space="preserve">Local transport per team field day</t>
  </si>
  <si>
    <t xml:space="preserve">Mittal basis: $300 for ride hail across 72 Lahore visits plus the Pakpattan trip.</t>
  </si>
  <si>
    <t xml:space="preserve">car_day</t>
  </si>
  <si>
    <t xml:space="preserve">Hired car with driver, Sindh</t>
  </si>
  <si>
    <t xml:space="preserve">Assumption: shrines at Sehwan, Bhit Shah and Makli are far apart and poorly served by intercity buses.</t>
  </si>
  <si>
    <t xml:space="preserve">domestic_flight</t>
  </si>
  <si>
    <t xml:space="preserve">Domestic flight, Lahore to Karachi, one way</t>
  </si>
  <si>
    <t xml:space="preserve">Air Arabia advertises Lahore to Karachi from PKR 17,240 (about $62); $90 allows for booking above the floor fare.</t>
  </si>
  <si>
    <t xml:space="preserve">intl_air</t>
  </si>
  <si>
    <t xml:space="preserve">Round trip airfare, Boston to Lahore</t>
  </si>
  <si>
    <t xml:space="preserve">Mittal budget basis: economy, researched September 2026.</t>
  </si>
  <si>
    <t xml:space="preserve">pi_outstation_share</t>
  </si>
  <si>
    <t xml:space="preserve">Share of outstation days Rauf joins</t>
  </si>
  <si>
    <t xml:space="preserve">share</t>
  </si>
  <si>
    <t xml:space="preserve">Assumption: Rauf accompanies half the outstation field days in Tier 2 and Tier 3.</t>
  </si>
  <si>
    <t xml:space="preserve">data_month</t>
  </si>
  <si>
    <t xml:space="preserve">Mobile data per enumerator per month</t>
  </si>
  <si>
    <t xml:space="preserve">Assumption: a data bundle for uploading forms and photographs daily.</t>
  </si>
  <si>
    <t xml:space="preserve">consent_form</t>
  </si>
  <si>
    <t xml:space="preserve">Printing per interview (consent and information sheet)</t>
  </si>
  <si>
    <t xml:space="preserve">Assumption: two printed pages in Urdu or Sindhi per respondent.</t>
  </si>
  <si>
    <t xml:space="preserve">video_day</t>
  </si>
  <si>
    <t xml:space="preserve">Local videographer, per event day</t>
  </si>
  <si>
    <t xml:space="preserve">Assumption: freelance camera operator in Lahore, Multan or Hyderabad.</t>
  </si>
  <si>
    <t xml:space="preserve">event_days</t>
  </si>
  <si>
    <t xml:space="preserve">Recording days per urs or qawwali event</t>
  </si>
  <si>
    <t xml:space="preserve">Assumption: the principal night of the urs and one preparatory day.</t>
  </si>
  <si>
    <t xml:space="preserve">nazrana_pkr</t>
  </si>
  <si>
    <t xml:space="preserve">Nazrana to the qawwal party or shrine when recording</t>
  </si>
  <si>
    <t xml:space="preserve">Assumption: customary offering when a gathering is recorded. Amount and practice to be settled with each shrine and with CUHS.</t>
  </si>
  <si>
    <t xml:space="preserve">event_audio_hr</t>
  </si>
  <si>
    <t xml:space="preserve">Audio transcribed per event (kalam and speeches)</t>
  </si>
  <si>
    <t xml:space="preserve">audio hours</t>
  </si>
  <si>
    <t xml:space="preserve">Assumption: the texts sung and the custodian's address, transcribed for the archive.</t>
  </si>
  <si>
    <t xml:space="preserve">book_pages</t>
  </si>
  <si>
    <t xml:space="preserve">Average pages per book</t>
  </si>
  <si>
    <t xml:space="preserve">pages</t>
  </si>
  <si>
    <t xml:space="preserve">Assumption for Urdu tazkira and local history volumes.</t>
  </si>
  <si>
    <t xml:space="preserve">pages_per_scan_day</t>
  </si>
  <si>
    <t xml:space="preserve">Pages scanned per assistant day</t>
  </si>
  <si>
    <t xml:space="preserve">Assumption for an overhead book scanner with page turning by hand and quality checks.</t>
  </si>
  <si>
    <t xml:space="preserve">scan_day</t>
  </si>
  <si>
    <t xml:space="preserve">Scanning assistant day rate</t>
  </si>
  <si>
    <t xml:space="preserve">Same as the enumerator rate.</t>
  </si>
  <si>
    <t xml:space="preserve">book_cost</t>
  </si>
  <si>
    <t xml:space="preserve">Average purchase price per book</t>
  </si>
  <si>
    <t xml:space="preserve">Assumption: Urdu reprints in Lahore and Multan bazaars, roughly PKR 1,500 to 3,000.</t>
  </si>
  <si>
    <t xml:space="preserve">books_bought_share</t>
  </si>
  <si>
    <t xml:space="preserve">Share of books purchased rather than borrowed</t>
  </si>
  <si>
    <t xml:space="preserve">Assumption: the rest are library or family copies scanned in place.</t>
  </si>
  <si>
    <t xml:space="preserve">library_fee</t>
  </si>
  <si>
    <t xml:space="preserve">Access and photocopy fee per borrowed book</t>
  </si>
  <si>
    <t xml:space="preserve">Assumption.</t>
  </si>
  <si>
    <t xml:space="preserve">ocr_book</t>
  </si>
  <si>
    <t xml:space="preserve">Cloud OCR and summarisation compute per book</t>
  </si>
  <si>
    <t xml:space="preserve">Assumption: the existing Tesseract urd and fas pipeline is free; this covers cloud compute for the queue.</t>
  </si>
  <si>
    <t xml:space="preserve">proof_days_per_book</t>
  </si>
  <si>
    <t xml:space="preserve">Urdu proofreading days per book</t>
  </si>
  <si>
    <t xml:space="preserve">Assumption: proofreading only the passages the archive cites, not the whole book.</t>
  </si>
  <si>
    <t xml:space="preserve">scanner_pkr</t>
  </si>
  <si>
    <t xml:space="preserve">Overhead book scanner (CZUR ET18 Pro)</t>
  </si>
  <si>
    <t xml:space="preserve">Paklap.pk list price.</t>
  </si>
  <si>
    <t xml:space="preserve">recorder</t>
  </si>
  <si>
    <t xml:space="preserve">Field audio recorder (Zoom H5studio)</t>
  </si>
  <si>
    <t xml:space="preserve">Trew Audio lists the Zoom H5studio at $349.99.</t>
  </si>
  <si>
    <t xml:space="preserve">mics</t>
  </si>
  <si>
    <t xml:space="preserve">Two lavalier microphones and cables</t>
  </si>
  <si>
    <t xml:space="preserve">drives</t>
  </si>
  <si>
    <t xml:space="preserve">Two 4 TB backup drives</t>
  </si>
  <si>
    <t xml:space="preserve">Assumption: one copy stays in Lahore, one travels to Cambridge.</t>
  </si>
  <si>
    <t xml:space="preserve">cards</t>
  </si>
  <si>
    <t xml:space="preserve">SD cards, batteries, power banks</t>
  </si>
  <si>
    <t xml:space="preserve">video_kit</t>
  </si>
  <si>
    <t xml:space="preserve">Video kit (mirrorless camera, lens, gimbal)</t>
  </si>
  <si>
    <t xml:space="preserve">Assumption for Tier 3, when events are recorded in Sindh without a local videographer on call.</t>
  </si>
  <si>
    <t xml:space="preserve">archives_fees</t>
  </si>
  <si>
    <t xml:space="preserve">Archive access, RTI filings, records</t>
  </si>
  <si>
    <t xml:space="preserve">USD per tier</t>
  </si>
  <si>
    <t xml:space="preserve">Mittal basis.</t>
  </si>
  <si>
    <t xml:space="preserve">workshop</t>
  </si>
  <si>
    <t xml:space="preserve">Results workshop with Auqaf and LUMS partners</t>
  </si>
  <si>
    <t xml:space="preserve">Assumption: room, refreshments, printed Urdu summary.</t>
  </si>
  <si>
    <t xml:space="preserve">sindhi_review_days</t>
  </si>
  <si>
    <t xml:space="preserve">Sindhi and Pashto translation review days</t>
  </si>
  <si>
    <t xml:space="preserve">Assumption: a reviewer checks instrument translations and transcripts for Tier 3.</t>
  </si>
  <si>
    <t xml:space="preserve">Fieldwork regions by tier</t>
  </si>
  <si>
    <t xml:space="preserve">Shrine counts, fares and team composition are inputs (blue). Field days, nights and visits are computed.</t>
  </si>
  <si>
    <t xml:space="preserve">Tier</t>
  </si>
  <si>
    <t xml:space="preserve">Region</t>
  </si>
  <si>
    <t xml:space="preserve">Shrines</t>
  </si>
  <si>
    <t xml:space="preserve">Travelling team (people)</t>
  </si>
  <si>
    <t xml:space="preserve">Round trip fare per traveller (PKR)</t>
  </si>
  <si>
    <t xml:space="preserve">Domestic flights per traveller (one way legs)</t>
  </si>
  <si>
    <t xml:space="preserve">Hired car days</t>
  </si>
  <si>
    <t xml:space="preserve">Local hires (enumerators)</t>
  </si>
  <si>
    <t xml:space="preserve">Visits</t>
  </si>
  <si>
    <t xml:space="preserve">Team field days</t>
  </si>
  <si>
    <t xml:space="preserve">Enumerator days</t>
  </si>
  <si>
    <t xml:space="preserve">Female enumerator days</t>
  </si>
  <si>
    <t xml:space="preserve">Coordinator days</t>
  </si>
  <si>
    <t xml:space="preserve">Nights away</t>
  </si>
  <si>
    <t xml:space="preserve">Example shrines</t>
  </si>
  <si>
    <t xml:space="preserve">Notes</t>
  </si>
  <si>
    <t xml:space="preserve">Lahore</t>
  </si>
  <si>
    <t xml:space="preserve">Data Darbar, Bibi Pak Daman, Madho Lal Hussain, Shah Jamal, Abul Muali Qadri, Wasif Ali Wasif</t>
  </si>
  <si>
    <t xml:space="preserve">Home city; lodging with family; Mittal winter sample.</t>
  </si>
  <si>
    <t xml:space="preserve">Pakpattan</t>
  </si>
  <si>
    <t xml:space="preserve">Baba Farid Ganj Shakar and five district shrines</t>
  </si>
  <si>
    <t xml:space="preserve">Mittal winter sample. No listed Daewoo fare; PKR 1,500 each way assumed via Okara (Okara fare PKR 890).</t>
  </si>
  <si>
    <t xml:space="preserve">Multan</t>
  </si>
  <si>
    <t xml:space="preserve">Bahauddin Zakariya, Shah Rukn e Alam, Shams Tabrez</t>
  </si>
  <si>
    <t xml:space="preserve">Daewoo Gold Lahore to Multan PKR 3,430 each way.</t>
  </si>
  <si>
    <t xml:space="preserve">Uch Sharif and Bahawalpur</t>
  </si>
  <si>
    <t xml:space="preserve">Jalaluddin Surkh Bukhari, Bibi Jawindi, Gilani shrines of Uch</t>
  </si>
  <si>
    <t xml:space="preserve">Daewoo Gold Lahore to Bahawalpur PKR 2,580 each way plus PKR 500 each way to Uch (assumed).</t>
  </si>
  <si>
    <t xml:space="preserve">Jhang</t>
  </si>
  <si>
    <t xml:space="preserve">Shrines of Jhang and Shorkot, including Sultan Bahu at Garh Maharaja</t>
  </si>
  <si>
    <t xml:space="preserve">Daewoo Lahore to Jhang PKR 1,580 each way. Rehman and Lund Thomsen's lodge is in Jhang.</t>
  </si>
  <si>
    <t xml:space="preserve">Okara</t>
  </si>
  <si>
    <t xml:space="preserve">District shrines of Okara and Dipalpur</t>
  </si>
  <si>
    <t xml:space="preserve">Daewoo Lahore to Okara PKR 890 each way.</t>
  </si>
  <si>
    <t xml:space="preserve">Kasur</t>
  </si>
  <si>
    <t xml:space="preserve">Bulleh Shah and district shrines</t>
  </si>
  <si>
    <t xml:space="preserve">Day trips from Lahore; no lodging; PKR 600 each way assumed.</t>
  </si>
  <si>
    <t xml:space="preserve">Taunsa and Dera Ghazi Khan</t>
  </si>
  <si>
    <t xml:space="preserve">Taunsa Sharif, Sakhi Sarwar</t>
  </si>
  <si>
    <t xml:space="preserve">Lahore to Multan PKR 3,430 plus Multan to Dera Ghazi Khan PKR 570, each way.</t>
  </si>
  <si>
    <t xml:space="preserve">Sindh: Karachi and Thatta</t>
  </si>
  <si>
    <t xml:space="preserve">Abdullah Shah Ghazi, Makli necropolis shrines</t>
  </si>
  <si>
    <t xml:space="preserve">Coordinator flies from Lahore; Sindhi speaking enumerators hired locally.</t>
  </si>
  <si>
    <t xml:space="preserve">Sindh: Sehwan</t>
  </si>
  <si>
    <t xml:space="preserve">Lal Shahbaz Qalandar and Sehwan shrines</t>
  </si>
  <si>
    <t xml:space="preserve">By hired car from Karachi or Hyderabad. Local hires.</t>
  </si>
  <si>
    <t xml:space="preserve">Sindh: Hyderabad and Bhit Shah</t>
  </si>
  <si>
    <t xml:space="preserve">Shah Abdul Latif Bhittai, Hyderabad shrines</t>
  </si>
  <si>
    <t xml:space="preserve">By hired car. Local hires.</t>
  </si>
  <si>
    <t xml:space="preserve">Islamabad and Rawalpindi</t>
  </si>
  <si>
    <t xml:space="preserve">Bari Imam, Golra Sharif</t>
  </si>
  <si>
    <t xml:space="preserve">Daewoo Gold Lahore to Islamabad PKR 2,980 each way.</t>
  </si>
  <si>
    <t xml:space="preserve">Peshawar</t>
  </si>
  <si>
    <t xml:space="preserve">Rahman Baba and Peshawar shrines</t>
  </si>
  <si>
    <t xml:space="preserve">Coordinator travels; Pashto speaking enumerators hired locally. PKR 4,500 each way assumed.</t>
  </si>
  <si>
    <t xml:space="preserve">Note: Kasur is costed as day trips, so it carries fares but no nights away. In Sindh and Peshawar only the coordinator travels; enumerators are hired locally so that interviews run in Sindhi and Pashto.</t>
  </si>
  <si>
    <t xml:space="preserve">Line items</t>
  </si>
  <si>
    <t xml:space="preserve">Each tier lists only what it adds. Tiers are cumulative on the Summary sheet. Quantities and unit costs are formulas that point to the Assumptions and Regions sheets.</t>
  </si>
  <si>
    <t xml:space="preserve">Item</t>
  </si>
  <si>
    <t xml:space="preserve">Quantity</t>
  </si>
  <si>
    <t xml:space="preserve">Unit cost (USD)</t>
  </si>
  <si>
    <t xml:space="preserve">Total (USD)</t>
  </si>
  <si>
    <t xml:space="preserve">Total (PKR)</t>
  </si>
  <si>
    <t xml:space="preserve">Basis</t>
  </si>
  <si>
    <t xml:space="preserve">Lahore: enumerator days</t>
  </si>
  <si>
    <t xml:space="preserve">enumerator days</t>
  </si>
  <si>
    <t xml:space="preserve">Two enumerators per visit outside Lahore; singly in Lahore, as in the Mittal budget.</t>
  </si>
  <si>
    <t xml:space="preserve">Lahore: female enumerator days</t>
  </si>
  <si>
    <t xml:space="preserve">Women's spaces and women devotee interviews.</t>
  </si>
  <si>
    <t xml:space="preserve">Lahore: field coordinator days</t>
  </si>
  <si>
    <t xml:space="preserve">Supervision of outstation teams.</t>
  </si>
  <si>
    <t xml:space="preserve">Lahore: local transport</t>
  </si>
  <si>
    <t xml:space="preserve">team field days</t>
  </si>
  <si>
    <t xml:space="preserve">Ride hail and rickshaw between sites.</t>
  </si>
  <si>
    <t xml:space="preserve">Lahore: lodging</t>
  </si>
  <si>
    <t xml:space="preserve">room nights</t>
  </si>
  <si>
    <t xml:space="preserve">Budget hotel, twin share.</t>
  </si>
  <si>
    <t xml:space="preserve">Lahore: meals away from home</t>
  </si>
  <si>
    <t xml:space="preserve">traveller days</t>
  </si>
  <si>
    <t xml:space="preserve">Per traveller per night away.</t>
  </si>
  <si>
    <t xml:space="preserve">Lahore: transcription and translation</t>
  </si>
  <si>
    <t xml:space="preserve">Five interviews per shrine.</t>
  </si>
  <si>
    <t xml:space="preserve">Lahore: tokens of thanks to devotees</t>
  </si>
  <si>
    <t xml:space="preserve">Subject to CUHS and Rauf's decision.</t>
  </si>
  <si>
    <t xml:space="preserve">Lahore: consent forms and printing</t>
  </si>
  <si>
    <t xml:space="preserve">Lahore: data entry and coding</t>
  </si>
  <si>
    <t xml:space="preserve">Function module entry and double check.</t>
  </si>
  <si>
    <t xml:space="preserve">Pakpattan: enumerator days</t>
  </si>
  <si>
    <t xml:space="preserve">Pakpattan: female enumerator days</t>
  </si>
  <si>
    <t xml:space="preserve">Pakpattan: field coordinator days</t>
  </si>
  <si>
    <t xml:space="preserve">Pakpattan: local transport</t>
  </si>
  <si>
    <t xml:space="preserve">Pakpattan: intercity fares</t>
  </si>
  <si>
    <t xml:space="preserve">travellers</t>
  </si>
  <si>
    <t xml:space="preserve">Round trip bus fare per traveller; see Regions.</t>
  </si>
  <si>
    <t xml:space="preserve">Pakpattan: lodging</t>
  </si>
  <si>
    <t xml:space="preserve">Pakpattan: meals away from home</t>
  </si>
  <si>
    <t xml:space="preserve">Pakpattan: transcription and translation</t>
  </si>
  <si>
    <t xml:space="preserve">Pakpattan: tokens of thanks to devotees</t>
  </si>
  <si>
    <t xml:space="preserve">Pakpattan: consent forms and printing</t>
  </si>
  <si>
    <t xml:space="preserve">Pakpattan: data entry and coding</t>
  </si>
  <si>
    <t xml:space="preserve">Multan: enumerator days</t>
  </si>
  <si>
    <t xml:space="preserve">Multan: female enumerator days</t>
  </si>
  <si>
    <t xml:space="preserve">Multan: field coordinator days</t>
  </si>
  <si>
    <t xml:space="preserve">Multan: local transport</t>
  </si>
  <si>
    <t xml:space="preserve">Multan: intercity fares</t>
  </si>
  <si>
    <t xml:space="preserve">Multan: lodging</t>
  </si>
  <si>
    <t xml:space="preserve">Multan: meals away from home</t>
  </si>
  <si>
    <t xml:space="preserve">Multan: transcription and translation</t>
  </si>
  <si>
    <t xml:space="preserve">Multan: tokens of thanks to devotees</t>
  </si>
  <si>
    <t xml:space="preserve">Multan: consent forms and printing</t>
  </si>
  <si>
    <t xml:space="preserve">Multan: data entry and coding</t>
  </si>
  <si>
    <t xml:space="preserve">Uch Sharif and Bahawalpur: enumerator days</t>
  </si>
  <si>
    <t xml:space="preserve">Uch Sharif and Bahawalpur: female enumerator days</t>
  </si>
  <si>
    <t xml:space="preserve">Uch Sharif and Bahawalpur: field coordinator days</t>
  </si>
  <si>
    <t xml:space="preserve">Uch Sharif and Bahawalpur: local transport</t>
  </si>
  <si>
    <t xml:space="preserve">Uch Sharif and Bahawalpur: intercity fares</t>
  </si>
  <si>
    <t xml:space="preserve">Uch Sharif and Bahawalpur: lodging</t>
  </si>
  <si>
    <t xml:space="preserve">Uch Sharif and Bahawalpur: meals away from home</t>
  </si>
  <si>
    <t xml:space="preserve">Uch Sharif and Bahawalpur: transcription and translation</t>
  </si>
  <si>
    <t xml:space="preserve">Uch Sharif and Bahawalpur: tokens of thanks to devotees</t>
  </si>
  <si>
    <t xml:space="preserve">Uch Sharif and Bahawalpur: consent forms and printing</t>
  </si>
  <si>
    <t xml:space="preserve">Uch Sharif and Bahawalpur: data entry and coding</t>
  </si>
  <si>
    <t xml:space="preserve">Jhang: enumerator days</t>
  </si>
  <si>
    <t xml:space="preserve">Jhang: female enumerator days</t>
  </si>
  <si>
    <t xml:space="preserve">Jhang: field coordinator days</t>
  </si>
  <si>
    <t xml:space="preserve">Jhang: local transport</t>
  </si>
  <si>
    <t xml:space="preserve">Jhang: intercity fares</t>
  </si>
  <si>
    <t xml:space="preserve">Jhang: lodging</t>
  </si>
  <si>
    <t xml:space="preserve">Jhang: meals away from home</t>
  </si>
  <si>
    <t xml:space="preserve">Jhang: transcription and translation</t>
  </si>
  <si>
    <t xml:space="preserve">Jhang: tokens of thanks to devotees</t>
  </si>
  <si>
    <t xml:space="preserve">Jhang: consent forms and printing</t>
  </si>
  <si>
    <t xml:space="preserve">Jhang: data entry and coding</t>
  </si>
  <si>
    <t xml:space="preserve">Okara: enumerator days</t>
  </si>
  <si>
    <t xml:space="preserve">Okara: female enumerator days</t>
  </si>
  <si>
    <t xml:space="preserve">Okara: field coordinator days</t>
  </si>
  <si>
    <t xml:space="preserve">Okara: local transport</t>
  </si>
  <si>
    <t xml:space="preserve">Okara: intercity fares</t>
  </si>
  <si>
    <t xml:space="preserve">Okara: lodging</t>
  </si>
  <si>
    <t xml:space="preserve">Okara: meals away from home</t>
  </si>
  <si>
    <t xml:space="preserve">Okara: transcription and translation</t>
  </si>
  <si>
    <t xml:space="preserve">Okara: tokens of thanks to devotees</t>
  </si>
  <si>
    <t xml:space="preserve">Okara: consent forms and printing</t>
  </si>
  <si>
    <t xml:space="preserve">Okara: data entry and coding</t>
  </si>
  <si>
    <t xml:space="preserve">Kasur: enumerator days</t>
  </si>
  <si>
    <t xml:space="preserve">Kasur: female enumerator days</t>
  </si>
  <si>
    <t xml:space="preserve">Kasur: field coordinator days</t>
  </si>
  <si>
    <t xml:space="preserve">Kasur: local transport</t>
  </si>
  <si>
    <t xml:space="preserve">Kasur: intercity fares</t>
  </si>
  <si>
    <t xml:space="preserve">Kasur: lodging</t>
  </si>
  <si>
    <t xml:space="preserve">Kasur: meals away from home</t>
  </si>
  <si>
    <t xml:space="preserve">Kasur: transcription and translation</t>
  </si>
  <si>
    <t xml:space="preserve">Kasur: tokens of thanks to devotees</t>
  </si>
  <si>
    <t xml:space="preserve">Kasur: consent forms and printing</t>
  </si>
  <si>
    <t xml:space="preserve">Kasur: data entry and coding</t>
  </si>
  <si>
    <t xml:space="preserve">Taunsa and Dera Ghazi Khan: enumerator days</t>
  </si>
  <si>
    <t xml:space="preserve">Taunsa and Dera Ghazi Khan: female enumerator days</t>
  </si>
  <si>
    <t xml:space="preserve">Taunsa and Dera Ghazi Khan: field coordinator days</t>
  </si>
  <si>
    <t xml:space="preserve">Taunsa and Dera Ghazi Khan: local transport</t>
  </si>
  <si>
    <t xml:space="preserve">Taunsa and Dera Ghazi Khan: intercity fares</t>
  </si>
  <si>
    <t xml:space="preserve">Taunsa and Dera Ghazi Khan: lodging</t>
  </si>
  <si>
    <t xml:space="preserve">Taunsa and Dera Ghazi Khan: meals away from home</t>
  </si>
  <si>
    <t xml:space="preserve">Taunsa and Dera Ghazi Khan: transcription and translation</t>
  </si>
  <si>
    <t xml:space="preserve">Taunsa and Dera Ghazi Khan: tokens of thanks to devotees</t>
  </si>
  <si>
    <t xml:space="preserve">Taunsa and Dera Ghazi Khan: consent forms and printing</t>
  </si>
  <si>
    <t xml:space="preserve">Taunsa and Dera Ghazi Khan: data entry and coding</t>
  </si>
  <si>
    <t xml:space="preserve">Sindh: Karachi and Thatta: enumerator days</t>
  </si>
  <si>
    <t xml:space="preserve">Sindh: Karachi and Thatta: female enumerator days</t>
  </si>
  <si>
    <t xml:space="preserve">Sindh: Karachi and Thatta: field coordinator days</t>
  </si>
  <si>
    <t xml:space="preserve">Sindh: Karachi and Thatta: local transport</t>
  </si>
  <si>
    <t xml:space="preserve">Sindh: Karachi and Thatta: domestic flights</t>
  </si>
  <si>
    <t xml:space="preserve">one way legs</t>
  </si>
  <si>
    <t xml:space="preserve">Lahore to Karachi and back.</t>
  </si>
  <si>
    <t xml:space="preserve">Sindh: Karachi and Thatta: hired car with driver</t>
  </si>
  <si>
    <t xml:space="preserve">Distances between Sindh shrines.</t>
  </si>
  <si>
    <t xml:space="preserve">Sindh: Karachi and Thatta: lodging</t>
  </si>
  <si>
    <t xml:space="preserve">Sindh: Karachi and Thatta: meals away from home</t>
  </si>
  <si>
    <t xml:space="preserve">Sindh: Karachi and Thatta: transcription and translation</t>
  </si>
  <si>
    <t xml:space="preserve">Sindh: Karachi and Thatta: tokens of thanks to devotees</t>
  </si>
  <si>
    <t xml:space="preserve">Sindh: Karachi and Thatta: consent forms and printing</t>
  </si>
  <si>
    <t xml:space="preserve">Sindh: Karachi and Thatta: data entry and coding</t>
  </si>
  <si>
    <t xml:space="preserve">Sindh: Sehwan: enumerator days</t>
  </si>
  <si>
    <t xml:space="preserve">Sindh: Sehwan: female enumerator days</t>
  </si>
  <si>
    <t xml:space="preserve">Sindh: Sehwan: field coordinator days</t>
  </si>
  <si>
    <t xml:space="preserve">Sindh: Sehwan: local transport</t>
  </si>
  <si>
    <t xml:space="preserve">Sindh: Sehwan: hired car with driver</t>
  </si>
  <si>
    <t xml:space="preserve">Sindh: Sehwan: lodging</t>
  </si>
  <si>
    <t xml:space="preserve">Sindh: Sehwan: meals away from home</t>
  </si>
  <si>
    <t xml:space="preserve">Sindh: Sehwan: transcription and translation</t>
  </si>
  <si>
    <t xml:space="preserve">Sindh: Sehwan: tokens of thanks to devotees</t>
  </si>
  <si>
    <t xml:space="preserve">Sindh: Sehwan: consent forms and printing</t>
  </si>
  <si>
    <t xml:space="preserve">Sindh: Sehwan: data entry and coding</t>
  </si>
  <si>
    <t xml:space="preserve">Sindh: Hyderabad and Bhit Shah: enumerator days</t>
  </si>
  <si>
    <t xml:space="preserve">Sindh: Hyderabad and Bhit Shah: female enumerator days</t>
  </si>
  <si>
    <t xml:space="preserve">Sindh: Hyderabad and Bhit Shah: field coordinator days</t>
  </si>
  <si>
    <t xml:space="preserve">Sindh: Hyderabad and Bhit Shah: local transport</t>
  </si>
  <si>
    <t xml:space="preserve">Sindh: Hyderabad and Bhit Shah: hired car with driver</t>
  </si>
  <si>
    <t xml:space="preserve">Sindh: Hyderabad and Bhit Shah: lodging</t>
  </si>
  <si>
    <t xml:space="preserve">Sindh: Hyderabad and Bhit Shah: meals away from home</t>
  </si>
  <si>
    <t xml:space="preserve">Sindh: Hyderabad and Bhit Shah: transcription and translation</t>
  </si>
  <si>
    <t xml:space="preserve">Sindh: Hyderabad and Bhit Shah: tokens of thanks to devotees</t>
  </si>
  <si>
    <t xml:space="preserve">Sindh: Hyderabad and Bhit Shah: consent forms and printing</t>
  </si>
  <si>
    <t xml:space="preserve">Sindh: Hyderabad and Bhit Shah: data entry and coding</t>
  </si>
  <si>
    <t xml:space="preserve">Islamabad and Rawalpindi: enumerator days</t>
  </si>
  <si>
    <t xml:space="preserve">Islamabad and Rawalpindi: female enumerator days</t>
  </si>
  <si>
    <t xml:space="preserve">Islamabad and Rawalpindi: field coordinator days</t>
  </si>
  <si>
    <t xml:space="preserve">Islamabad and Rawalpindi: local transport</t>
  </si>
  <si>
    <t xml:space="preserve">Islamabad and Rawalpindi: intercity fares</t>
  </si>
  <si>
    <t xml:space="preserve">Islamabad and Rawalpindi: lodging</t>
  </si>
  <si>
    <t xml:space="preserve">Islamabad and Rawalpindi: meals away from home</t>
  </si>
  <si>
    <t xml:space="preserve">Islamabad and Rawalpindi: transcription and translation</t>
  </si>
  <si>
    <t xml:space="preserve">Islamabad and Rawalpindi: tokens of thanks to devotees</t>
  </si>
  <si>
    <t xml:space="preserve">Islamabad and Rawalpindi: consent forms and printing</t>
  </si>
  <si>
    <t xml:space="preserve">Islamabad and Rawalpindi: data entry and coding</t>
  </si>
  <si>
    <t xml:space="preserve">Peshawar: enumerator days</t>
  </si>
  <si>
    <t xml:space="preserve">Peshawar: female enumerator days</t>
  </si>
  <si>
    <t xml:space="preserve">Peshawar: field coordinator days</t>
  </si>
  <si>
    <t xml:space="preserve">Peshawar: local transport</t>
  </si>
  <si>
    <t xml:space="preserve">Peshawar: intercity fares</t>
  </si>
  <si>
    <t xml:space="preserve">Peshawar: lodging</t>
  </si>
  <si>
    <t xml:space="preserve">Peshawar: meals away from home</t>
  </si>
  <si>
    <t xml:space="preserve">Peshawar: transcription and translation</t>
  </si>
  <si>
    <t xml:space="preserve">Peshawar: tokens of thanks to devotees</t>
  </si>
  <si>
    <t xml:space="preserve">Peshawar: consent forms and printing</t>
  </si>
  <si>
    <t xml:space="preserve">Peshawar: data entry and coding</t>
  </si>
  <si>
    <t xml:space="preserve">Round trip airfare, Boston to Lahore (winter 2026 to 2027)</t>
  </si>
  <si>
    <t xml:space="preserve">trip</t>
  </si>
  <si>
    <t xml:space="preserve">Mittal budget line.</t>
  </si>
  <si>
    <t xml:space="preserve">Round trip airfare, Boston to Lahore (summer 2027)</t>
  </si>
  <si>
    <t xml:space="preserve">Rauf: lodging and meals on outstation trips</t>
  </si>
  <si>
    <t xml:space="preserve">days away</t>
  </si>
  <si>
    <t xml:space="preserve">Own room plus meals for the share of days Rauf joins.</t>
  </si>
  <si>
    <t xml:space="preserve">Rauf: Lahore to Karachi flights</t>
  </si>
  <si>
    <t xml:space="preserve">Events recorded: Urs of Wasif Ali Wasif (January 2027), Mela Chiraghan at Madho Lal Hussain, urs at Data Darbar</t>
  </si>
  <si>
    <t xml:space="preserve">events</t>
  </si>
  <si>
    <t xml:space="preserve">Count only; costs below.</t>
  </si>
  <si>
    <t xml:space="preserve">Videographer</t>
  </si>
  <si>
    <t xml:space="preserve">Enumerator support at events</t>
  </si>
  <si>
    <t xml:space="preserve">Two enumerators code festival period provision.</t>
  </si>
  <si>
    <t xml:space="preserve">Nazrana to qawwal party or shrine</t>
  </si>
  <si>
    <t xml:space="preserve">Customary offering; practice to be settled per shrine.</t>
  </si>
  <si>
    <t xml:space="preserve">Transcription of kalam and addresses</t>
  </si>
  <si>
    <t xml:space="preserve">Event transport</t>
  </si>
  <si>
    <t xml:space="preserve">Larger crowds, longer journeys.</t>
  </si>
  <si>
    <t xml:space="preserve">Events recorded: Urs at Pakpattan, Multan (Bahauddin Zakariya, Shah Rukn e Alam), Uch Sharif</t>
  </si>
  <si>
    <t xml:space="preserve">Events recorded: Urs of Lal Shahbaz Qalandar at Sehwan, Shah Abdul Latif at Bhit Shah, Bari Imam</t>
  </si>
  <si>
    <t xml:space="preserve">Recorded oral histories with khadims and elders</t>
  </si>
  <si>
    <t xml:space="preserve">histories</t>
  </si>
  <si>
    <t xml:space="preserve">Count only; costs below. Tier 1 includes the three at Bibi Pak Daman.</t>
  </si>
  <si>
    <t xml:space="preserve">Transcription and translation (about 1.5 hours each)</t>
  </si>
  <si>
    <t xml:space="preserve">Books digitised (core Lahore tazkira and local histories)</t>
  </si>
  <si>
    <t xml:space="preserve">books</t>
  </si>
  <si>
    <t xml:space="preserve">Book purchases</t>
  </si>
  <si>
    <t xml:space="preserve">Library access and photocopy fees</t>
  </si>
  <si>
    <t xml:space="preserve">Scanning assistant</t>
  </si>
  <si>
    <t xml:space="preserve">Cloud OCR and summarisation compute</t>
  </si>
  <si>
    <t xml:space="preserve">Existing Tesseract urd and fas pipeline.</t>
  </si>
  <si>
    <t xml:space="preserve">Urdu proofreading of cited passages</t>
  </si>
  <si>
    <t xml:space="preserve">Books digitised (Multan, Bahawalpur and Jhang tazkiras)</t>
  </si>
  <si>
    <t xml:space="preserve">Books digitised (Sindhi, Persian and Pashto tazkiras)</t>
  </si>
  <si>
    <t xml:space="preserve">unit</t>
  </si>
  <si>
    <t xml:space="preserve">Paklap list price.</t>
  </si>
  <si>
    <t xml:space="preserve">Lavalier microphones and cables</t>
  </si>
  <si>
    <t xml:space="preserve">set</t>
  </si>
  <si>
    <t xml:space="preserve">Backup drives</t>
  </si>
  <si>
    <t xml:space="preserve">Second recorder kit for a parallel team</t>
  </si>
  <si>
    <t xml:space="preserve">Two teams work in parallel in summer 2027.</t>
  </si>
  <si>
    <t xml:space="preserve">Video kit</t>
  </si>
  <si>
    <t xml:space="preserve">Mobile data for enumerators</t>
  </si>
  <si>
    <t xml:space="preserve">enumerator months</t>
  </si>
  <si>
    <t xml:space="preserve">3 enumerators for 6 months.</t>
  </si>
  <si>
    <t xml:space="preserve">Archive access, RTI filings, Auqaf records</t>
  </si>
  <si>
    <t xml:space="preserve">lump sum</t>
  </si>
  <si>
    <t xml:space="preserve">6 enumerators for 4 months.</t>
  </si>
  <si>
    <t xml:space="preserve">6 enumerators for 3 months.</t>
  </si>
  <si>
    <t xml:space="preserve">Sindhi and Pashto translation review</t>
  </si>
  <si>
    <t xml:space="preserve">Instrument and transcript checks.</t>
  </si>
  <si>
    <t xml:space="preserve">event</t>
  </si>
  <si>
    <t xml:space="preserve">Second workshop in Karachi or Hyderabad</t>
  </si>
  <si>
    <t xml:space="preserve">Subtotal before contingency</t>
  </si>
  <si>
    <t xml:space="preserve">Sources consulted, 13 October 2026</t>
  </si>
  <si>
    <t xml:space="preserve">Figure</t>
  </si>
  <si>
    <t xml:space="preserve">Source</t>
  </si>
  <si>
    <t xml:space="preserve">URL</t>
  </si>
  <si>
    <t xml:space="preserve">PKR 277.11 per USD, 30 Sep 2026</t>
  </si>
  <si>
    <t xml:space="preserve">ProPakistani</t>
  </si>
  <si>
    <t xml:space="preserve">https://propakistani.pk/2026/09/30/pkr-breaks-another-record-against-dollar/</t>
  </si>
  <si>
    <t xml:space="preserve">Punjab minimum wage PKR 40,000 a month from 1 Jul 2025</t>
  </si>
  <si>
    <t xml:space="preserve">WageIndicator</t>
  </si>
  <si>
    <t xml:space="preserve">https://wageindicator.org/salary/minimum-wage/pakistan/168-punjab</t>
  </si>
  <si>
    <t xml:space="preserve">Daewoo Express fares from Lahore and Multan</t>
  </si>
  <si>
    <t xml:space="preserve">PK Buses fare list</t>
  </si>
  <si>
    <t xml:space="preserve">https://pkbuses.com/daewoo-express-ticket-price</t>
  </si>
  <si>
    <t xml:space="preserve">Lahore to Multan bus fares by operator</t>
  </si>
  <si>
    <t xml:space="preserve">Bookme</t>
  </si>
  <si>
    <t xml:space="preserve">https://bookme.pk/lahore-to-multan-bus-ticket-price</t>
  </si>
  <si>
    <t xml:space="preserve">Lahore to Karachi flights from PKR 17,240</t>
  </si>
  <si>
    <t xml:space="preserve">Air Arabia</t>
  </si>
  <si>
    <t xml:space="preserve">https://flights.airarabia.com/en-pk/flights-from-lahore-to-karachi</t>
  </si>
  <si>
    <t xml:space="preserve">Multan hotel prices</t>
  </si>
  <si>
    <t xml:space="preserve">Champion Traveler</t>
  </si>
  <si>
    <t xml:space="preserve">https://championtraveler.com/price/cost-of-a-trip-to-multan-pk</t>
  </si>
  <si>
    <t xml:space="preserve">CZUR ET18 Pro at PKR 181,000</t>
  </si>
  <si>
    <t xml:space="preserve">Paklap</t>
  </si>
  <si>
    <t xml:space="preserve">https://www.paklap.pk/czur-et18-scanner-price-reviews-pakistan.html</t>
  </si>
  <si>
    <t xml:space="preserve">Zoom H5studio at $349.99</t>
  </si>
  <si>
    <t xml:space="preserve">Trew Audio</t>
  </si>
  <si>
    <t xml:space="preserve">https://www.trewaudio.com/product/zoom-h5studio-handy-recorder/</t>
  </si>
  <si>
    <t xml:space="preserve">Urdu transcription from $1.02 a minute</t>
  </si>
  <si>
    <t xml:space="preserve">GoTranscript</t>
  </si>
  <si>
    <t xml:space="preserve">https://gotranscript.com/transcribe-urdu-audio-to-english</t>
  </si>
  <si>
    <t xml:space="preserve">Enumerator, airfare, transport and archive rates</t>
  </si>
  <si>
    <t xml:space="preserve">Rauf Nawaz, Mittal Statement of Rationale and Budget</t>
  </si>
  <si>
    <t xml:space="preserve">Mittal Proposal folder, Google Drive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</si>
</sst>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;&quot;($&quot;#,##0\);\-"/>
    <numFmt numFmtId="167" formatCode="#,##0;\(#,##0\);\-"/>
    <numFmt numFmtId="168" formatCode="0%"/>
    <numFmt numFmtId="169" formatCode="#,##0.00"/>
    <numFmt numFmtId="170" formatCode="#,##0.0;\(#,##0.0\);\-"/>
    <numFmt numFmtId="171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sz val="11"/>
      <color theme="1"/>
      <name val="Times New Roman"/>
      <family val="0"/>
      <charset val="1"/>
    </font>
    <font>
      <i val="true"/>
      <sz val="11"/>
      <name val="Times New Roman"/>
      <family val="0"/>
      <charset val="1"/>
    </font>
    <font>
      <sz val="11"/>
      <color rgb="FF008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3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A4A5A"/>
        <bgColor rgb="FF333399"/>
      </patternFill>
    </fill>
    <fill>
      <patternFill patternType="solid">
        <fgColor rgb="FFE7E6E6"/>
        <bgColor rgb="FFEAF1EA"/>
      </patternFill>
    </fill>
    <fill>
      <patternFill patternType="solid">
        <fgColor rgb="FFFFF2CC"/>
        <bgColor rgb="FFEAF1EA"/>
      </patternFill>
    </fill>
    <fill>
      <patternFill patternType="solid">
        <fgColor rgb="FFEAF1EA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A4A5A"/>
          <bgColor rgb="FF000000"/>
        </patternFill>
      </fill>
    </dxf>
    <dxf>
      <fill>
        <patternFill patternType="solid">
          <fgColor rgb="FFEA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5"/>
    <col collapsed="false" customWidth="true" hidden="false" outlineLevel="0" max="7" min="6" style="0" width="17"/>
    <col collapsed="false" customWidth="true" hidden="false" outlineLevel="0" max="8" min="8" style="0" width="19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 t="s">
        <v>2</v>
      </c>
      <c r="B4" s="4" t="n">
        <f aca="false">Assumptions!$C$5</f>
        <v>277</v>
      </c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25.3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</row>
    <row r="7" customFormat="false" ht="15" hidden="false" customHeight="false" outlineLevel="0" collapsed="false">
      <c r="A7" s="6" t="s">
        <v>11</v>
      </c>
      <c r="B7" s="7" t="n">
        <f aca="false">SUMIFS('Line Items'!$G$5:$G$210,'Line Items'!$A$5:$A$210,1,'Line Items'!$B$5:$B$210,$A7)</f>
        <v>1792.49097472924</v>
      </c>
      <c r="C7" s="7" t="n">
        <f aca="false">SUMIFS('Line Items'!$G$5:$G$210,'Line Items'!$A$5:$A$210,2,'Line Items'!$B$5:$B$210,$A7)</f>
        <v>5519.81949458484</v>
      </c>
      <c r="D7" s="7" t="n">
        <f aca="false">SUMIFS('Line Items'!$G$5:$G$210,'Line Items'!$A$5:$A$210,3,'Line Items'!$B$5:$B$210,$A7)</f>
        <v>3810.03971119134</v>
      </c>
      <c r="E7" s="8" t="n">
        <f aca="false">B7</f>
        <v>1792.49097472924</v>
      </c>
      <c r="F7" s="8" t="n">
        <f aca="false">B7+C7</f>
        <v>7312.31046931408</v>
      </c>
      <c r="G7" s="8" t="n">
        <f aca="false">B7+C7+D7</f>
        <v>11122.3501805054</v>
      </c>
      <c r="H7" s="9" t="n">
        <f aca="false">G7*$B$4</f>
        <v>3080891</v>
      </c>
    </row>
    <row r="8" customFormat="false" ht="15" hidden="false" customHeight="false" outlineLevel="0" collapsed="false">
      <c r="A8" s="6" t="s">
        <v>12</v>
      </c>
      <c r="B8" s="7" t="n">
        <f aca="false">SUMIFS('Line Items'!$G$5:$G$210,'Line Items'!$A$5:$A$210,1,'Line Items'!$B$5:$B$210,$A8)</f>
        <v>1121.94584837545</v>
      </c>
      <c r="C8" s="7" t="n">
        <f aca="false">SUMIFS('Line Items'!$G$5:$G$210,'Line Items'!$A$5:$A$210,2,'Line Items'!$B$5:$B$210,$A8)</f>
        <v>997.285198555957</v>
      </c>
      <c r="D8" s="7" t="n">
        <f aca="false">SUMIFS('Line Items'!$G$5:$G$210,'Line Items'!$A$5:$A$210,3,'Line Items'!$B$5:$B$210,$A8)</f>
        <v>685.63357400722</v>
      </c>
      <c r="E8" s="8" t="n">
        <f aca="false">B8</f>
        <v>1121.94584837545</v>
      </c>
      <c r="F8" s="8" t="n">
        <f aca="false">B8+C8</f>
        <v>2119.23104693141</v>
      </c>
      <c r="G8" s="8" t="n">
        <f aca="false">B8+C8+D8</f>
        <v>2804.86462093863</v>
      </c>
      <c r="H8" s="9" t="n">
        <f aca="false">G8*$B$4</f>
        <v>776947.5</v>
      </c>
    </row>
    <row r="9" customFormat="false" ht="15" hidden="false" customHeight="false" outlineLevel="0" collapsed="false">
      <c r="A9" s="6" t="s">
        <v>13</v>
      </c>
      <c r="B9" s="7" t="n">
        <f aca="false">SUMIFS('Line Items'!$G$5:$G$210,'Line Items'!$A$5:$A$210,1,'Line Items'!$B$5:$B$210,$A9)</f>
        <v>270</v>
      </c>
      <c r="C9" s="7" t="n">
        <f aca="false">SUMIFS('Line Items'!$G$5:$G$210,'Line Items'!$A$5:$A$210,2,'Line Items'!$B$5:$B$210,$A9)</f>
        <v>240</v>
      </c>
      <c r="D9" s="7" t="n">
        <f aca="false">SUMIFS('Line Items'!$G$5:$G$210,'Line Items'!$A$5:$A$210,3,'Line Items'!$B$5:$B$210,$A9)</f>
        <v>165</v>
      </c>
      <c r="E9" s="8" t="n">
        <f aca="false">B9</f>
        <v>270</v>
      </c>
      <c r="F9" s="8" t="n">
        <f aca="false">B9+C9</f>
        <v>510</v>
      </c>
      <c r="G9" s="8" t="n">
        <f aca="false">B9+C9+D9</f>
        <v>675</v>
      </c>
      <c r="H9" s="9" t="n">
        <f aca="false">G9*$B$4</f>
        <v>186975</v>
      </c>
    </row>
    <row r="10" customFormat="false" ht="15" hidden="false" customHeight="false" outlineLevel="0" collapsed="false">
      <c r="A10" s="6" t="s">
        <v>14</v>
      </c>
      <c r="B10" s="7" t="n">
        <f aca="false">SUMIFS('Line Items'!$G$5:$G$210,'Line Items'!$A$5:$A$210,1,'Line Items'!$B$5:$B$210,$A10)</f>
        <v>1450</v>
      </c>
      <c r="C10" s="7" t="n">
        <f aca="false">SUMIFS('Line Items'!$G$5:$G$210,'Line Items'!$A$5:$A$210,2,'Line Items'!$B$5:$B$210,$A10)</f>
        <v>2147.5</v>
      </c>
      <c r="D10" s="7" t="n">
        <f aca="false">SUMIFS('Line Items'!$G$5:$G$210,'Line Items'!$A$5:$A$210,3,'Line Items'!$B$5:$B$210,$A10)</f>
        <v>765</v>
      </c>
      <c r="E10" s="8" t="n">
        <f aca="false">B10</f>
        <v>1450</v>
      </c>
      <c r="F10" s="8" t="n">
        <f aca="false">B10+C10</f>
        <v>3597.5</v>
      </c>
      <c r="G10" s="8" t="n">
        <f aca="false">B10+C10+D10</f>
        <v>4362.5</v>
      </c>
      <c r="H10" s="9" t="n">
        <f aca="false">G10*$B$4</f>
        <v>1208412.5</v>
      </c>
    </row>
    <row r="11" customFormat="false" ht="15" hidden="false" customHeight="false" outlineLevel="0" collapsed="false">
      <c r="A11" s="6" t="s">
        <v>15</v>
      </c>
      <c r="B11" s="7" t="n">
        <f aca="false">SUMIFS('Line Items'!$G$5:$G$210,'Line Items'!$A$5:$A$210,1,'Line Items'!$B$5:$B$210,$A11)</f>
        <v>726.303249097473</v>
      </c>
      <c r="C11" s="7" t="n">
        <f aca="false">SUMIFS('Line Items'!$G$5:$G$210,'Line Items'!$A$5:$A$210,2,'Line Items'!$B$5:$B$210,$A11)</f>
        <v>968.404332129964</v>
      </c>
      <c r="D11" s="7" t="n">
        <f aca="false">SUMIFS('Line Items'!$G$5:$G$210,'Line Items'!$A$5:$A$210,3,'Line Items'!$B$5:$B$210,$A11)</f>
        <v>726.303249097473</v>
      </c>
      <c r="E11" s="8" t="n">
        <f aca="false">B11</f>
        <v>726.303249097473</v>
      </c>
      <c r="F11" s="8" t="n">
        <f aca="false">B11+C11</f>
        <v>1694.70758122744</v>
      </c>
      <c r="G11" s="8" t="n">
        <f aca="false">B11+C11+D11</f>
        <v>2421.01083032491</v>
      </c>
      <c r="H11" s="9" t="n">
        <f aca="false">G11*$B$4</f>
        <v>670620</v>
      </c>
    </row>
    <row r="12" customFormat="false" ht="15" hidden="false" customHeight="false" outlineLevel="0" collapsed="false">
      <c r="A12" s="6" t="s">
        <v>16</v>
      </c>
      <c r="B12" s="7" t="n">
        <f aca="false">SUMIFS('Line Items'!$G$5:$G$210,'Line Items'!$A$5:$A$210,1,'Line Items'!$B$5:$B$210,$A12)</f>
        <v>180</v>
      </c>
      <c r="C12" s="7" t="n">
        <f aca="false">SUMIFS('Line Items'!$G$5:$G$210,'Line Items'!$A$5:$A$210,2,'Line Items'!$B$5:$B$210,$A12)</f>
        <v>180</v>
      </c>
      <c r="D12" s="7" t="n">
        <f aca="false">SUMIFS('Line Items'!$G$5:$G$210,'Line Items'!$A$5:$A$210,3,'Line Items'!$B$5:$B$210,$A12)</f>
        <v>144</v>
      </c>
      <c r="E12" s="8" t="n">
        <f aca="false">B12</f>
        <v>180</v>
      </c>
      <c r="F12" s="8" t="n">
        <f aca="false">B12+C12</f>
        <v>360</v>
      </c>
      <c r="G12" s="8" t="n">
        <f aca="false">B12+C12+D12</f>
        <v>504</v>
      </c>
      <c r="H12" s="9" t="n">
        <f aca="false">G12*$B$4</f>
        <v>139608</v>
      </c>
    </row>
    <row r="13" customFormat="false" ht="15" hidden="false" customHeight="false" outlineLevel="0" collapsed="false">
      <c r="A13" s="6" t="s">
        <v>17</v>
      </c>
      <c r="B13" s="7" t="n">
        <f aca="false">SUMIFS('Line Items'!$G$5:$G$210,'Line Items'!$A$5:$A$210,1,'Line Items'!$B$5:$B$210,$A13)</f>
        <v>508.5</v>
      </c>
      <c r="C13" s="7" t="n">
        <f aca="false">SUMIFS('Line Items'!$G$5:$G$210,'Line Items'!$A$5:$A$210,2,'Line Items'!$B$5:$B$210,$A13)</f>
        <v>1017</v>
      </c>
      <c r="D13" s="7" t="n">
        <f aca="false">SUMIFS('Line Items'!$G$5:$G$210,'Line Items'!$A$5:$A$210,3,'Line Items'!$B$5:$B$210,$A13)</f>
        <v>1017</v>
      </c>
      <c r="E13" s="8" t="n">
        <f aca="false">B13</f>
        <v>508.5</v>
      </c>
      <c r="F13" s="8" t="n">
        <f aca="false">B13+C13</f>
        <v>1525.5</v>
      </c>
      <c r="G13" s="8" t="n">
        <f aca="false">B13+C13+D13</f>
        <v>2542.5</v>
      </c>
      <c r="H13" s="9" t="n">
        <f aca="false">G13*$B$4</f>
        <v>704272.5</v>
      </c>
    </row>
    <row r="14" customFormat="false" ht="15" hidden="false" customHeight="false" outlineLevel="0" collapsed="false">
      <c r="A14" s="6" t="s">
        <v>18</v>
      </c>
      <c r="B14" s="7" t="n">
        <f aca="false">SUMIFS('Line Items'!$G$5:$G$210,'Line Items'!$A$5:$A$210,1,'Line Items'!$B$5:$B$210,$A14)</f>
        <v>1363.42960288809</v>
      </c>
      <c r="C14" s="7" t="n">
        <f aca="false">SUMIFS('Line Items'!$G$5:$G$210,'Line Items'!$A$5:$A$210,2,'Line Items'!$B$5:$B$210,$A14)</f>
        <v>490</v>
      </c>
      <c r="D14" s="7" t="n">
        <f aca="false">SUMIFS('Line Items'!$G$5:$G$210,'Line Items'!$A$5:$A$210,3,'Line Items'!$B$5:$B$210,$A14)</f>
        <v>1100</v>
      </c>
      <c r="E14" s="8" t="n">
        <f aca="false">B14</f>
        <v>1363.42960288809</v>
      </c>
      <c r="F14" s="8" t="n">
        <f aca="false">B14+C14</f>
        <v>1853.42960288809</v>
      </c>
      <c r="G14" s="8" t="n">
        <f aca="false">B14+C14+D14</f>
        <v>2953.42960288809</v>
      </c>
      <c r="H14" s="9" t="n">
        <f aca="false">G14*$B$4</f>
        <v>818100</v>
      </c>
    </row>
    <row r="15" customFormat="false" ht="15" hidden="false" customHeight="false" outlineLevel="0" collapsed="false">
      <c r="A15" s="6" t="s">
        <v>19</v>
      </c>
      <c r="B15" s="7" t="n">
        <f aca="false">SUMIFS('Line Items'!$G$5:$G$210,'Line Items'!$A$5:$A$210,1,'Line Items'!$B$5:$B$210,$A15)</f>
        <v>170</v>
      </c>
      <c r="C15" s="7" t="n">
        <f aca="false">SUMIFS('Line Items'!$G$5:$G$210,'Line Items'!$A$5:$A$210,2,'Line Items'!$B$5:$B$210,$A15)</f>
        <v>200</v>
      </c>
      <c r="D15" s="7" t="n">
        <f aca="false">SUMIFS('Line Items'!$G$5:$G$210,'Line Items'!$A$5:$A$210,3,'Line Items'!$B$5:$B$210,$A15)</f>
        <v>320</v>
      </c>
      <c r="E15" s="8" t="n">
        <f aca="false">B15</f>
        <v>170</v>
      </c>
      <c r="F15" s="8" t="n">
        <f aca="false">B15+C15</f>
        <v>370</v>
      </c>
      <c r="G15" s="8" t="n">
        <f aca="false">B15+C15+D15</f>
        <v>690</v>
      </c>
      <c r="H15" s="9" t="n">
        <f aca="false">G15*$B$4</f>
        <v>191130</v>
      </c>
    </row>
    <row r="16" customFormat="false" ht="15" hidden="false" customHeight="false" outlineLevel="0" collapsed="false">
      <c r="A16" s="6" t="s">
        <v>20</v>
      </c>
      <c r="B16" s="7" t="n">
        <f aca="false">SUMIFS('Line Items'!$G$5:$G$210,'Line Items'!$A$5:$A$210,1,'Line Items'!$B$5:$B$210,$A16)</f>
        <v>0</v>
      </c>
      <c r="C16" s="7" t="n">
        <f aca="false">SUMIFS('Line Items'!$G$5:$G$210,'Line Items'!$A$5:$A$210,2,'Line Items'!$B$5:$B$210,$A16)</f>
        <v>250</v>
      </c>
      <c r="D16" s="7" t="n">
        <f aca="false">SUMIFS('Line Items'!$G$5:$G$210,'Line Items'!$A$5:$A$210,3,'Line Items'!$B$5:$B$210,$A16)</f>
        <v>250</v>
      </c>
      <c r="E16" s="8" t="n">
        <f aca="false">B16</f>
        <v>0</v>
      </c>
      <c r="F16" s="8" t="n">
        <f aca="false">B16+C16</f>
        <v>250</v>
      </c>
      <c r="G16" s="8" t="n">
        <f aca="false">B16+C16+D16</f>
        <v>500</v>
      </c>
      <c r="H16" s="9" t="n">
        <f aca="false">G16*$B$4</f>
        <v>138500</v>
      </c>
    </row>
    <row r="17" customFormat="false" ht="15" hidden="false" customHeight="false" outlineLevel="0" collapsed="false">
      <c r="A17" s="10" t="s">
        <v>21</v>
      </c>
      <c r="B17" s="11" t="n">
        <f aca="false">SUM(B7:B16)</f>
        <v>7582.66967509025</v>
      </c>
      <c r="C17" s="11" t="n">
        <f aca="false">SUM(C7:C16)</f>
        <v>12010.0090252708</v>
      </c>
      <c r="D17" s="11" t="n">
        <f aca="false">SUM(D7:D16)</f>
        <v>8982.97653429603</v>
      </c>
      <c r="E17" s="11" t="n">
        <f aca="false">SUM(E7:E16)</f>
        <v>7582.66967509025</v>
      </c>
      <c r="F17" s="11" t="n">
        <f aca="false">SUM(F7:F16)</f>
        <v>19592.678700361</v>
      </c>
      <c r="G17" s="11" t="n">
        <f aca="false">SUM(G7:G16)</f>
        <v>28575.655234657</v>
      </c>
      <c r="H17" s="12" t="n">
        <f aca="false">SUM(H7:H16)</f>
        <v>7915456.5</v>
      </c>
    </row>
    <row r="18" customFormat="false" ht="15" hidden="false" customHeight="false" outlineLevel="0" collapsed="false">
      <c r="A18" s="10" t="s">
        <v>22</v>
      </c>
      <c r="B18" s="11" t="n">
        <f aca="false">B17*Assumptions!$C$6</f>
        <v>758.266967509025</v>
      </c>
      <c r="C18" s="11" t="n">
        <f aca="false">C17*Assumptions!$C$6</f>
        <v>1201.00090252708</v>
      </c>
      <c r="D18" s="11" t="n">
        <f aca="false">D17*Assumptions!$C$6</f>
        <v>898.297653429603</v>
      </c>
      <c r="E18" s="11" t="n">
        <f aca="false">E17*Assumptions!$C$6</f>
        <v>758.266967509025</v>
      </c>
      <c r="F18" s="11" t="n">
        <f aca="false">F17*Assumptions!$C$6</f>
        <v>1959.2678700361</v>
      </c>
      <c r="G18" s="11" t="n">
        <f aca="false">G17*Assumptions!$C$6</f>
        <v>2857.5655234657</v>
      </c>
      <c r="H18" s="12" t="n">
        <f aca="false">H17*Assumptions!$C$6</f>
        <v>791545.65</v>
      </c>
    </row>
    <row r="19" customFormat="false" ht="15" hidden="false" customHeight="false" outlineLevel="0" collapsed="false">
      <c r="A19" s="10" t="s">
        <v>23</v>
      </c>
      <c r="B19" s="11" t="n">
        <f aca="false">B17+B18</f>
        <v>8340.93664259928</v>
      </c>
      <c r="C19" s="11" t="n">
        <f aca="false">C17+C18</f>
        <v>13211.0099277978</v>
      </c>
      <c r="D19" s="11" t="n">
        <f aca="false">D17+D18</f>
        <v>9881.27418772563</v>
      </c>
      <c r="E19" s="11" t="n">
        <f aca="false">E17+E18</f>
        <v>8340.93664259928</v>
      </c>
      <c r="F19" s="11" t="n">
        <f aca="false">F17+F18</f>
        <v>21551.9465703971</v>
      </c>
      <c r="G19" s="11" t="n">
        <f aca="false">G17+G18</f>
        <v>31433.2207581227</v>
      </c>
      <c r="H19" s="12" t="n">
        <f aca="false">H17+H18</f>
        <v>8707002.15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13" t="s">
        <v>24</v>
      </c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14" t="s">
        <v>25</v>
      </c>
      <c r="B22" s="2"/>
      <c r="C22" s="2"/>
      <c r="D22" s="2"/>
      <c r="E22" s="15" t="n">
        <f aca="false">SUMIFS(Regions!$C$5:$C$17,Regions!$A$5:$A$17,"&lt;="&amp;1)</f>
        <v>36</v>
      </c>
      <c r="F22" s="15" t="n">
        <f aca="false">SUMIFS(Regions!$C$5:$C$17,Regions!$A$5:$A$17,"&lt;="&amp;2)</f>
        <v>68</v>
      </c>
      <c r="G22" s="15" t="n">
        <f aca="false">SUMIFS(Regions!$C$5:$C$17,Regions!$A$5:$A$17,"&lt;="&amp;3)</f>
        <v>90</v>
      </c>
      <c r="H22" s="2"/>
    </row>
    <row r="23" customFormat="false" ht="15" hidden="false" customHeight="false" outlineLevel="0" collapsed="false">
      <c r="A23" s="14" t="s">
        <v>26</v>
      </c>
      <c r="B23" s="2"/>
      <c r="C23" s="2"/>
      <c r="D23" s="2"/>
      <c r="E23" s="16" t="n">
        <f aca="false">E19/E22</f>
        <v>231.692684516647</v>
      </c>
      <c r="F23" s="16" t="n">
        <f aca="false">F19/F22</f>
        <v>316.940390741134</v>
      </c>
      <c r="G23" s="16" t="n">
        <f aca="false">G19/G22</f>
        <v>349.258008423586</v>
      </c>
      <c r="H23" s="2"/>
    </row>
    <row r="24" customFormat="false" ht="15" hidden="false" customHeight="false" outlineLevel="0" collapsed="false">
      <c r="A24" s="14" t="s">
        <v>27</v>
      </c>
      <c r="B24" s="2"/>
      <c r="C24" s="2"/>
      <c r="D24" s="2"/>
      <c r="E24" s="15" t="n">
        <f aca="false">SUMIFS('Line Items'!$D$5:$D$210,'Line Items'!$A$5:$A$210,"&lt;="&amp;1,'Line Items'!$C$5:$C$210,"Books digitised*")</f>
        <v>30</v>
      </c>
      <c r="F24" s="15" t="n">
        <f aca="false">SUMIFS('Line Items'!$D$5:$D$210,'Line Items'!$A$5:$A$210,"&lt;="&amp;2,'Line Items'!$C$5:$C$210,"Books digitised*")</f>
        <v>90</v>
      </c>
      <c r="G24" s="15" t="n">
        <f aca="false">SUMIFS('Line Items'!$D$5:$D$210,'Line Items'!$A$5:$A$210,"&lt;="&amp;3,'Line Items'!$C$5:$C$210,"Books digitised*")</f>
        <v>150</v>
      </c>
      <c r="H24" s="2"/>
    </row>
    <row r="25" customFormat="false" ht="15" hidden="false" customHeight="false" outlineLevel="0" collapsed="false">
      <c r="A25" s="14" t="s">
        <v>28</v>
      </c>
      <c r="B25" s="2"/>
      <c r="C25" s="2"/>
      <c r="D25" s="2"/>
      <c r="E25" s="15" t="n">
        <f aca="false">SUMIFS('Line Items'!$D$5:$D$210,'Line Items'!$A$5:$A$210,"&lt;="&amp;1,'Line Items'!$C$5:$C$210,"Events recorded*")</f>
        <v>3</v>
      </c>
      <c r="F25" s="15" t="n">
        <f aca="false">SUMIFS('Line Items'!$D$5:$D$210,'Line Items'!$A$5:$A$210,"&lt;="&amp;2,'Line Items'!$C$5:$C$210,"Events recorded*")</f>
        <v>7</v>
      </c>
      <c r="G25" s="15" t="n">
        <f aca="false">SUMIFS('Line Items'!$D$5:$D$210,'Line Items'!$A$5:$A$210,"&lt;="&amp;3,'Line Items'!$C$5:$C$210,"Events recorded*")</f>
        <v>10</v>
      </c>
      <c r="H25" s="2"/>
    </row>
    <row r="26" customFormat="false" ht="15" hidden="false" customHeight="false" outlineLevel="0" collapsed="false">
      <c r="A26" s="14" t="s">
        <v>29</v>
      </c>
      <c r="B26" s="2"/>
      <c r="C26" s="2"/>
      <c r="D26" s="2"/>
      <c r="E26" s="15" t="n">
        <f aca="false">E22*Assumptions!$C$13</f>
        <v>180</v>
      </c>
      <c r="F26" s="15" t="n">
        <f aca="false">F22*Assumptions!$C$13</f>
        <v>340</v>
      </c>
      <c r="G26" s="15" t="n">
        <f aca="false">G22*Assumptions!$C$13</f>
        <v>450</v>
      </c>
      <c r="H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13" t="s">
        <v>30</v>
      </c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2" t="s">
        <v>31</v>
      </c>
      <c r="B29" s="2"/>
      <c r="C29" s="2"/>
      <c r="D29" s="2"/>
      <c r="E29" s="17" t="n">
        <v>2950</v>
      </c>
      <c r="F29" s="2"/>
      <c r="G29" s="2"/>
      <c r="H29" s="2"/>
    </row>
    <row r="30" customFormat="false" ht="15" hidden="false" customHeight="false" outlineLevel="0" collapsed="false">
      <c r="A30" s="2" t="s">
        <v>32</v>
      </c>
      <c r="B30" s="2"/>
      <c r="C30" s="2"/>
      <c r="D30" s="2"/>
      <c r="E30" s="18" t="n">
        <f aca="false">E19-E29</f>
        <v>5390.93664259928</v>
      </c>
      <c r="F30" s="2"/>
      <c r="G30" s="2"/>
      <c r="H30" s="2"/>
    </row>
    <row r="31" customFormat="false" ht="15" hidden="false" customHeight="false" outlineLevel="0" collapsed="false">
      <c r="A31" s="2" t="s">
        <v>33</v>
      </c>
      <c r="B31" s="2"/>
      <c r="C31" s="2"/>
      <c r="D31" s="2"/>
      <c r="E31" s="2"/>
      <c r="F31" s="18" t="n">
        <f aca="false">C19</f>
        <v>13211.0099277978</v>
      </c>
      <c r="G31" s="18" t="n">
        <f aca="false">D19</f>
        <v>9881.27418772563</v>
      </c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19" t="s">
        <v>34</v>
      </c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19" t="s">
        <v>35</v>
      </c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19" t="s">
        <v>36</v>
      </c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19" t="s">
        <v>37</v>
      </c>
      <c r="B36" s="2"/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A37" s="19" t="s">
        <v>38</v>
      </c>
      <c r="B37" s="2"/>
      <c r="C37" s="2"/>
      <c r="D37" s="2"/>
      <c r="E37" s="2"/>
      <c r="F37" s="2"/>
      <c r="G37" s="2"/>
      <c r="H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90"/>
  </cols>
  <sheetData>
    <row r="1" customFormat="false" ht="16.15" hidden="false" customHeight="false" outlineLevel="0" collapsed="false">
      <c r="A1" s="20" t="s">
        <v>39</v>
      </c>
    </row>
    <row r="2" customFormat="false" ht="15" hidden="false" customHeight="false" outlineLevel="0" collapsed="false">
      <c r="A2" s="3" t="s">
        <v>40</v>
      </c>
    </row>
    <row r="4" customFormat="false" ht="15" hidden="false" customHeight="false" outlineLevel="0" collapsed="false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</row>
    <row r="5" customFormat="false" ht="15" hidden="false" customHeight="false" outlineLevel="0" collapsed="false">
      <c r="A5" s="21" t="s">
        <v>46</v>
      </c>
      <c r="B5" s="21" t="s">
        <v>47</v>
      </c>
      <c r="C5" s="22" t="n">
        <v>277</v>
      </c>
      <c r="D5" s="21" t="s">
        <v>48</v>
      </c>
      <c r="E5" s="21" t="s">
        <v>49</v>
      </c>
    </row>
    <row r="6" customFormat="false" ht="15" hidden="false" customHeight="false" outlineLevel="0" collapsed="false">
      <c r="A6" s="21" t="s">
        <v>50</v>
      </c>
      <c r="B6" s="21" t="s">
        <v>22</v>
      </c>
      <c r="C6" s="23" t="n">
        <v>0.1</v>
      </c>
      <c r="D6" s="21" t="s">
        <v>51</v>
      </c>
      <c r="E6" s="21" t="s">
        <v>52</v>
      </c>
    </row>
    <row r="7" customFormat="false" ht="37.3" hidden="false" customHeight="false" outlineLevel="0" collapsed="false">
      <c r="A7" s="21" t="s">
        <v>53</v>
      </c>
      <c r="B7" s="21" t="s">
        <v>54</v>
      </c>
      <c r="C7" s="22" t="n">
        <v>15</v>
      </c>
      <c r="D7" s="21" t="s">
        <v>55</v>
      </c>
      <c r="E7" s="21" t="s">
        <v>56</v>
      </c>
    </row>
    <row r="8" customFormat="false" ht="25.35" hidden="false" customHeight="false" outlineLevel="0" collapsed="false">
      <c r="A8" s="24" t="s">
        <v>57</v>
      </c>
      <c r="B8" s="24" t="s">
        <v>58</v>
      </c>
      <c r="C8" s="25" t="n">
        <v>25</v>
      </c>
      <c r="D8" s="24" t="s">
        <v>55</v>
      </c>
      <c r="E8" s="24" t="s">
        <v>59</v>
      </c>
    </row>
    <row r="9" customFormat="false" ht="15" hidden="false" customHeight="false" outlineLevel="0" collapsed="false">
      <c r="A9" s="21" t="s">
        <v>60</v>
      </c>
      <c r="B9" s="21" t="s">
        <v>61</v>
      </c>
      <c r="C9" s="22" t="n">
        <v>15</v>
      </c>
      <c r="D9" s="21" t="s">
        <v>55</v>
      </c>
      <c r="E9" s="21" t="s">
        <v>62</v>
      </c>
    </row>
    <row r="10" customFormat="false" ht="15" hidden="false" customHeight="false" outlineLevel="0" collapsed="false">
      <c r="A10" s="21" t="s">
        <v>63</v>
      </c>
      <c r="B10" s="21" t="s">
        <v>64</v>
      </c>
      <c r="C10" s="22" t="n">
        <v>2</v>
      </c>
      <c r="D10" s="21" t="s">
        <v>65</v>
      </c>
      <c r="E10" s="21" t="s">
        <v>66</v>
      </c>
    </row>
    <row r="11" customFormat="false" ht="15" hidden="false" customHeight="false" outlineLevel="0" collapsed="false">
      <c r="A11" s="21" t="s">
        <v>67</v>
      </c>
      <c r="B11" s="21" t="s">
        <v>68</v>
      </c>
      <c r="C11" s="26" t="n">
        <v>2.4</v>
      </c>
      <c r="D11" s="21" t="s">
        <v>65</v>
      </c>
      <c r="E11" s="21" t="s">
        <v>69</v>
      </c>
    </row>
    <row r="12" customFormat="false" ht="15" hidden="false" customHeight="false" outlineLevel="0" collapsed="false">
      <c r="A12" s="24" t="s">
        <v>70</v>
      </c>
      <c r="B12" s="24" t="s">
        <v>71</v>
      </c>
      <c r="C12" s="27" t="n">
        <v>0.5</v>
      </c>
      <c r="D12" s="24" t="s">
        <v>72</v>
      </c>
      <c r="E12" s="24" t="s">
        <v>73</v>
      </c>
    </row>
    <row r="13" customFormat="false" ht="15" hidden="false" customHeight="false" outlineLevel="0" collapsed="false">
      <c r="A13" s="21" t="s">
        <v>74</v>
      </c>
      <c r="B13" s="21" t="s">
        <v>75</v>
      </c>
      <c r="C13" s="22" t="n">
        <v>5</v>
      </c>
      <c r="D13" s="21" t="s">
        <v>76</v>
      </c>
      <c r="E13" s="21" t="s">
        <v>77</v>
      </c>
    </row>
    <row r="14" customFormat="false" ht="15" hidden="false" customHeight="false" outlineLevel="0" collapsed="false">
      <c r="A14" s="21" t="s">
        <v>78</v>
      </c>
      <c r="B14" s="21" t="s">
        <v>79</v>
      </c>
      <c r="C14" s="22" t="n">
        <v>3</v>
      </c>
      <c r="D14" s="21" t="s">
        <v>76</v>
      </c>
      <c r="E14" s="21" t="s">
        <v>80</v>
      </c>
    </row>
    <row r="15" customFormat="false" ht="15" hidden="false" customHeight="false" outlineLevel="0" collapsed="false">
      <c r="A15" s="24" t="s">
        <v>81</v>
      </c>
      <c r="B15" s="24" t="s">
        <v>82</v>
      </c>
      <c r="C15" s="25" t="n">
        <v>25</v>
      </c>
      <c r="D15" s="24" t="s">
        <v>83</v>
      </c>
      <c r="E15" s="24" t="s">
        <v>84</v>
      </c>
    </row>
    <row r="16" customFormat="false" ht="25.35" hidden="false" customHeight="false" outlineLevel="0" collapsed="false">
      <c r="A16" s="24" t="s">
        <v>85</v>
      </c>
      <c r="B16" s="24" t="s">
        <v>86</v>
      </c>
      <c r="C16" s="25" t="n">
        <v>500</v>
      </c>
      <c r="D16" s="24" t="s">
        <v>87</v>
      </c>
      <c r="E16" s="24" t="s">
        <v>88</v>
      </c>
    </row>
    <row r="17" customFormat="false" ht="25.35" hidden="false" customHeight="false" outlineLevel="0" collapsed="false">
      <c r="A17" s="24" t="s">
        <v>89</v>
      </c>
      <c r="B17" s="24" t="s">
        <v>90</v>
      </c>
      <c r="C17" s="25" t="n">
        <v>12</v>
      </c>
      <c r="D17" s="24" t="s">
        <v>91</v>
      </c>
      <c r="E17" s="24" t="s">
        <v>92</v>
      </c>
    </row>
    <row r="18" customFormat="false" ht="15" hidden="false" customHeight="false" outlineLevel="0" collapsed="false">
      <c r="A18" s="21" t="s">
        <v>93</v>
      </c>
      <c r="B18" s="21" t="s">
        <v>94</v>
      </c>
      <c r="C18" s="26" t="n">
        <v>0.5</v>
      </c>
      <c r="D18" s="21" t="s">
        <v>72</v>
      </c>
      <c r="E18" s="21" t="s">
        <v>95</v>
      </c>
    </row>
    <row r="19" customFormat="false" ht="15" hidden="false" customHeight="false" outlineLevel="0" collapsed="false">
      <c r="A19" s="21" t="s">
        <v>96</v>
      </c>
      <c r="B19" s="21" t="s">
        <v>97</v>
      </c>
      <c r="C19" s="22" t="n">
        <v>35</v>
      </c>
      <c r="D19" s="21" t="s">
        <v>98</v>
      </c>
      <c r="E19" s="21" t="s">
        <v>99</v>
      </c>
    </row>
    <row r="20" customFormat="false" ht="25.35" hidden="false" customHeight="false" outlineLevel="0" collapsed="false">
      <c r="A20" s="21" t="s">
        <v>100</v>
      </c>
      <c r="B20" s="21" t="s">
        <v>101</v>
      </c>
      <c r="C20" s="22" t="n">
        <v>2</v>
      </c>
      <c r="D20" s="21" t="s">
        <v>102</v>
      </c>
      <c r="E20" s="21" t="s">
        <v>103</v>
      </c>
    </row>
    <row r="21" customFormat="false" ht="25.35" hidden="false" customHeight="false" outlineLevel="0" collapsed="false">
      <c r="A21" s="24" t="s">
        <v>104</v>
      </c>
      <c r="B21" s="24" t="s">
        <v>105</v>
      </c>
      <c r="C21" s="25" t="n">
        <v>10</v>
      </c>
      <c r="D21" s="24" t="s">
        <v>98</v>
      </c>
      <c r="E21" s="24" t="s">
        <v>106</v>
      </c>
    </row>
    <row r="22" customFormat="false" ht="15" hidden="false" customHeight="false" outlineLevel="0" collapsed="false">
      <c r="A22" s="21" t="s">
        <v>107</v>
      </c>
      <c r="B22" s="21" t="s">
        <v>108</v>
      </c>
      <c r="C22" s="22" t="n">
        <v>8</v>
      </c>
      <c r="D22" s="21" t="s">
        <v>98</v>
      </c>
      <c r="E22" s="21" t="s">
        <v>109</v>
      </c>
    </row>
    <row r="23" customFormat="false" ht="15" hidden="false" customHeight="false" outlineLevel="0" collapsed="false">
      <c r="A23" s="24" t="s">
        <v>110</v>
      </c>
      <c r="B23" s="24" t="s">
        <v>111</v>
      </c>
      <c r="C23" s="25" t="n">
        <v>60</v>
      </c>
      <c r="D23" s="24" t="s">
        <v>55</v>
      </c>
      <c r="E23" s="24" t="s">
        <v>112</v>
      </c>
    </row>
    <row r="24" customFormat="false" ht="25.35" hidden="false" customHeight="false" outlineLevel="0" collapsed="false">
      <c r="A24" s="21" t="s">
        <v>113</v>
      </c>
      <c r="B24" s="21" t="s">
        <v>114</v>
      </c>
      <c r="C24" s="22" t="n">
        <v>90</v>
      </c>
      <c r="D24" s="21" t="s">
        <v>98</v>
      </c>
      <c r="E24" s="21" t="s">
        <v>115</v>
      </c>
    </row>
    <row r="25" customFormat="false" ht="15" hidden="false" customHeight="false" outlineLevel="0" collapsed="false">
      <c r="A25" s="21" t="s">
        <v>116</v>
      </c>
      <c r="B25" s="21" t="s">
        <v>117</v>
      </c>
      <c r="C25" s="22" t="n">
        <v>1450</v>
      </c>
      <c r="D25" s="21" t="s">
        <v>98</v>
      </c>
      <c r="E25" s="21" t="s">
        <v>118</v>
      </c>
    </row>
    <row r="26" customFormat="false" ht="15" hidden="false" customHeight="false" outlineLevel="0" collapsed="false">
      <c r="A26" s="24" t="s">
        <v>119</v>
      </c>
      <c r="B26" s="24" t="s">
        <v>120</v>
      </c>
      <c r="C26" s="28" t="n">
        <v>0.5</v>
      </c>
      <c r="D26" s="24" t="s">
        <v>121</v>
      </c>
      <c r="E26" s="24" t="s">
        <v>122</v>
      </c>
    </row>
    <row r="27" customFormat="false" ht="15" hidden="false" customHeight="false" outlineLevel="0" collapsed="false">
      <c r="A27" s="21" t="s">
        <v>123</v>
      </c>
      <c r="B27" s="21" t="s">
        <v>124</v>
      </c>
      <c r="C27" s="22" t="n">
        <v>5</v>
      </c>
      <c r="D27" s="21" t="s">
        <v>98</v>
      </c>
      <c r="E27" s="21" t="s">
        <v>125</v>
      </c>
    </row>
    <row r="28" customFormat="false" ht="15" hidden="false" customHeight="false" outlineLevel="0" collapsed="false">
      <c r="A28" s="21" t="s">
        <v>126</v>
      </c>
      <c r="B28" s="21" t="s">
        <v>127</v>
      </c>
      <c r="C28" s="26" t="n">
        <v>0.15</v>
      </c>
      <c r="D28" s="21" t="s">
        <v>98</v>
      </c>
      <c r="E28" s="21" t="s">
        <v>128</v>
      </c>
    </row>
    <row r="29" customFormat="false" ht="15" hidden="false" customHeight="false" outlineLevel="0" collapsed="false">
      <c r="A29" s="24" t="s">
        <v>129</v>
      </c>
      <c r="B29" s="24" t="s">
        <v>130</v>
      </c>
      <c r="C29" s="25" t="n">
        <v>45</v>
      </c>
      <c r="D29" s="24" t="s">
        <v>98</v>
      </c>
      <c r="E29" s="24" t="s">
        <v>131</v>
      </c>
    </row>
    <row r="30" customFormat="false" ht="15" hidden="false" customHeight="false" outlineLevel="0" collapsed="false">
      <c r="A30" s="21" t="s">
        <v>132</v>
      </c>
      <c r="B30" s="21" t="s">
        <v>133</v>
      </c>
      <c r="C30" s="22" t="n">
        <v>2</v>
      </c>
      <c r="D30" s="21" t="s">
        <v>72</v>
      </c>
      <c r="E30" s="21" t="s">
        <v>134</v>
      </c>
    </row>
    <row r="31" customFormat="false" ht="25.35" hidden="false" customHeight="false" outlineLevel="0" collapsed="false">
      <c r="A31" s="24" t="s">
        <v>135</v>
      </c>
      <c r="B31" s="24" t="s">
        <v>136</v>
      </c>
      <c r="C31" s="25" t="n">
        <v>10000</v>
      </c>
      <c r="D31" s="24" t="s">
        <v>87</v>
      </c>
      <c r="E31" s="24" t="s">
        <v>137</v>
      </c>
    </row>
    <row r="32" customFormat="false" ht="15" hidden="false" customHeight="false" outlineLevel="0" collapsed="false">
      <c r="A32" s="21" t="s">
        <v>138</v>
      </c>
      <c r="B32" s="21" t="s">
        <v>139</v>
      </c>
      <c r="C32" s="22" t="n">
        <v>2</v>
      </c>
      <c r="D32" s="21" t="s">
        <v>140</v>
      </c>
      <c r="E32" s="21" t="s">
        <v>141</v>
      </c>
    </row>
    <row r="33" customFormat="false" ht="15" hidden="false" customHeight="false" outlineLevel="0" collapsed="false">
      <c r="A33" s="21" t="s">
        <v>142</v>
      </c>
      <c r="B33" s="21" t="s">
        <v>143</v>
      </c>
      <c r="C33" s="22" t="n">
        <v>350</v>
      </c>
      <c r="D33" s="21" t="s">
        <v>144</v>
      </c>
      <c r="E33" s="21" t="s">
        <v>145</v>
      </c>
    </row>
    <row r="34" customFormat="false" ht="15" hidden="false" customHeight="false" outlineLevel="0" collapsed="false">
      <c r="A34" s="24" t="s">
        <v>146</v>
      </c>
      <c r="B34" s="24" t="s">
        <v>147</v>
      </c>
      <c r="C34" s="25" t="n">
        <v>1200</v>
      </c>
      <c r="D34" s="24" t="s">
        <v>144</v>
      </c>
      <c r="E34" s="24" t="s">
        <v>148</v>
      </c>
    </row>
    <row r="35" customFormat="false" ht="15" hidden="false" customHeight="false" outlineLevel="0" collapsed="false">
      <c r="A35" s="21" t="s">
        <v>149</v>
      </c>
      <c r="B35" s="21" t="s">
        <v>150</v>
      </c>
      <c r="C35" s="22" t="n">
        <v>15</v>
      </c>
      <c r="D35" s="21" t="s">
        <v>55</v>
      </c>
      <c r="E35" s="21" t="s">
        <v>151</v>
      </c>
    </row>
    <row r="36" customFormat="false" ht="15" hidden="false" customHeight="false" outlineLevel="0" collapsed="false">
      <c r="A36" s="24" t="s">
        <v>152</v>
      </c>
      <c r="B36" s="24" t="s">
        <v>153</v>
      </c>
      <c r="C36" s="25" t="n">
        <v>8</v>
      </c>
      <c r="D36" s="24" t="s">
        <v>98</v>
      </c>
      <c r="E36" s="24" t="s">
        <v>154</v>
      </c>
    </row>
    <row r="37" customFormat="false" ht="15" hidden="false" customHeight="false" outlineLevel="0" collapsed="false">
      <c r="A37" s="24" t="s">
        <v>155</v>
      </c>
      <c r="B37" s="24" t="s">
        <v>156</v>
      </c>
      <c r="C37" s="28" t="n">
        <v>0.5</v>
      </c>
      <c r="D37" s="24" t="s">
        <v>121</v>
      </c>
      <c r="E37" s="24" t="s">
        <v>157</v>
      </c>
    </row>
    <row r="38" customFormat="false" ht="15" hidden="false" customHeight="false" outlineLevel="0" collapsed="false">
      <c r="A38" s="21" t="s">
        <v>158</v>
      </c>
      <c r="B38" s="21" t="s">
        <v>159</v>
      </c>
      <c r="C38" s="22" t="n">
        <v>3</v>
      </c>
      <c r="D38" s="21" t="s">
        <v>98</v>
      </c>
      <c r="E38" s="21" t="s">
        <v>160</v>
      </c>
    </row>
    <row r="39" customFormat="false" ht="15" hidden="false" customHeight="false" outlineLevel="0" collapsed="false">
      <c r="A39" s="21" t="s">
        <v>161</v>
      </c>
      <c r="B39" s="21" t="s">
        <v>162</v>
      </c>
      <c r="C39" s="22" t="n">
        <v>2</v>
      </c>
      <c r="D39" s="21" t="s">
        <v>98</v>
      </c>
      <c r="E39" s="21" t="s">
        <v>163</v>
      </c>
    </row>
    <row r="40" customFormat="false" ht="15" hidden="false" customHeight="false" outlineLevel="0" collapsed="false">
      <c r="A40" s="24" t="s">
        <v>164</v>
      </c>
      <c r="B40" s="24" t="s">
        <v>165</v>
      </c>
      <c r="C40" s="27" t="n">
        <v>0.33</v>
      </c>
      <c r="D40" s="24" t="s">
        <v>72</v>
      </c>
      <c r="E40" s="24" t="s">
        <v>166</v>
      </c>
    </row>
    <row r="41" customFormat="false" ht="15" hidden="false" customHeight="false" outlineLevel="0" collapsed="false">
      <c r="A41" s="21" t="s">
        <v>167</v>
      </c>
      <c r="B41" s="21" t="s">
        <v>168</v>
      </c>
      <c r="C41" s="22" t="n">
        <v>181000</v>
      </c>
      <c r="D41" s="21" t="s">
        <v>87</v>
      </c>
      <c r="E41" s="21" t="s">
        <v>169</v>
      </c>
    </row>
    <row r="42" customFormat="false" ht="15" hidden="false" customHeight="false" outlineLevel="0" collapsed="false">
      <c r="A42" s="21" t="s">
        <v>170</v>
      </c>
      <c r="B42" s="21" t="s">
        <v>171</v>
      </c>
      <c r="C42" s="22" t="n">
        <v>350</v>
      </c>
      <c r="D42" s="21" t="s">
        <v>98</v>
      </c>
      <c r="E42" s="21" t="s">
        <v>172</v>
      </c>
    </row>
    <row r="43" customFormat="false" ht="15" hidden="false" customHeight="false" outlineLevel="0" collapsed="false">
      <c r="A43" s="21" t="s">
        <v>173</v>
      </c>
      <c r="B43" s="21" t="s">
        <v>174</v>
      </c>
      <c r="C43" s="22" t="n">
        <v>60</v>
      </c>
      <c r="D43" s="21" t="s">
        <v>98</v>
      </c>
      <c r="E43" s="21" t="s">
        <v>160</v>
      </c>
    </row>
    <row r="44" customFormat="false" ht="15" hidden="false" customHeight="false" outlineLevel="0" collapsed="false">
      <c r="A44" s="21" t="s">
        <v>175</v>
      </c>
      <c r="B44" s="21" t="s">
        <v>176</v>
      </c>
      <c r="C44" s="22" t="n">
        <v>220</v>
      </c>
      <c r="D44" s="21" t="s">
        <v>98</v>
      </c>
      <c r="E44" s="21" t="s">
        <v>177</v>
      </c>
    </row>
    <row r="45" customFormat="false" ht="15" hidden="false" customHeight="false" outlineLevel="0" collapsed="false">
      <c r="A45" s="21" t="s">
        <v>178</v>
      </c>
      <c r="B45" s="21" t="s">
        <v>179</v>
      </c>
      <c r="C45" s="22" t="n">
        <v>80</v>
      </c>
      <c r="D45" s="21" t="s">
        <v>98</v>
      </c>
      <c r="E45" s="21" t="s">
        <v>160</v>
      </c>
    </row>
    <row r="46" customFormat="false" ht="15" hidden="false" customHeight="false" outlineLevel="0" collapsed="false">
      <c r="A46" s="24" t="s">
        <v>180</v>
      </c>
      <c r="B46" s="24" t="s">
        <v>181</v>
      </c>
      <c r="C46" s="25" t="n">
        <v>1100</v>
      </c>
      <c r="D46" s="24" t="s">
        <v>98</v>
      </c>
      <c r="E46" s="24" t="s">
        <v>182</v>
      </c>
    </row>
    <row r="47" customFormat="false" ht="15" hidden="false" customHeight="false" outlineLevel="0" collapsed="false">
      <c r="A47" s="21" t="s">
        <v>183</v>
      </c>
      <c r="B47" s="21" t="s">
        <v>184</v>
      </c>
      <c r="C47" s="22" t="n">
        <v>80</v>
      </c>
      <c r="D47" s="21" t="s">
        <v>185</v>
      </c>
      <c r="E47" s="21" t="s">
        <v>186</v>
      </c>
    </row>
    <row r="48" customFormat="false" ht="15" hidden="false" customHeight="false" outlineLevel="0" collapsed="false">
      <c r="A48" s="24" t="s">
        <v>187</v>
      </c>
      <c r="B48" s="24" t="s">
        <v>188</v>
      </c>
      <c r="C48" s="25" t="n">
        <v>250</v>
      </c>
      <c r="D48" s="24" t="s">
        <v>98</v>
      </c>
      <c r="E48" s="24" t="s">
        <v>189</v>
      </c>
    </row>
    <row r="49" customFormat="false" ht="15" hidden="false" customHeight="false" outlineLevel="0" collapsed="false">
      <c r="A49" s="24" t="s">
        <v>190</v>
      </c>
      <c r="B49" s="24" t="s">
        <v>191</v>
      </c>
      <c r="C49" s="25" t="n">
        <v>10</v>
      </c>
      <c r="D49" s="24" t="s">
        <v>72</v>
      </c>
      <c r="E49" s="2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3" min="11" style="0" width="11"/>
    <col collapsed="false" customWidth="true" hidden="false" outlineLevel="0" max="14" min="14" style="0" width="9"/>
    <col collapsed="false" customWidth="true" hidden="false" outlineLevel="0" max="16" min="15" style="0" width="52"/>
  </cols>
  <sheetData>
    <row r="1" customFormat="false" ht="16.15" hidden="false" customHeight="false" outlineLevel="0" collapsed="false">
      <c r="A1" s="20" t="s">
        <v>193</v>
      </c>
    </row>
    <row r="2" customFormat="false" ht="15" hidden="false" customHeight="false" outlineLevel="0" collapsed="false">
      <c r="A2" s="3" t="s">
        <v>194</v>
      </c>
    </row>
    <row r="4" customFormat="false" ht="61.15" hidden="false" customHeight="false" outlineLevel="0" collapsed="false">
      <c r="A4" s="5" t="s">
        <v>195</v>
      </c>
      <c r="B4" s="5" t="s">
        <v>196</v>
      </c>
      <c r="C4" s="5" t="s">
        <v>197</v>
      </c>
      <c r="D4" s="5" t="s">
        <v>198</v>
      </c>
      <c r="E4" s="5" t="s">
        <v>199</v>
      </c>
      <c r="F4" s="5" t="s">
        <v>200</v>
      </c>
      <c r="G4" s="5" t="s">
        <v>201</v>
      </c>
      <c r="H4" s="5" t="s">
        <v>202</v>
      </c>
      <c r="I4" s="5" t="s">
        <v>203</v>
      </c>
      <c r="J4" s="5" t="s">
        <v>204</v>
      </c>
      <c r="K4" s="5" t="s">
        <v>205</v>
      </c>
      <c r="L4" s="5" t="s">
        <v>206</v>
      </c>
      <c r="M4" s="5" t="s">
        <v>207</v>
      </c>
      <c r="N4" s="5" t="s">
        <v>208</v>
      </c>
      <c r="O4" s="5" t="s">
        <v>209</v>
      </c>
      <c r="P4" s="5" t="s">
        <v>210</v>
      </c>
    </row>
    <row r="5" customFormat="false" ht="25.35" hidden="false" customHeight="false" outlineLevel="0" collapsed="false">
      <c r="A5" s="29" t="n">
        <v>1</v>
      </c>
      <c r="B5" s="29" t="s">
        <v>211</v>
      </c>
      <c r="C5" s="30" t="n">
        <v>30</v>
      </c>
      <c r="D5" s="30" t="n">
        <v>0</v>
      </c>
      <c r="E5" s="31" t="n">
        <v>0</v>
      </c>
      <c r="F5" s="30" t="n">
        <v>0</v>
      </c>
      <c r="G5" s="30" t="n">
        <v>0</v>
      </c>
      <c r="H5" s="30" t="n">
        <v>0</v>
      </c>
      <c r="I5" s="32" t="n">
        <f aca="false">C5*Assumptions!$C$10</f>
        <v>60</v>
      </c>
      <c r="J5" s="32" t="n">
        <f aca="false">ROUNDUP(I5/Assumptions!$C$11,0)</f>
        <v>25</v>
      </c>
      <c r="K5" s="32" t="n">
        <f aca="false">IF(D5=0,J5,J5*2)</f>
        <v>25</v>
      </c>
      <c r="L5" s="33" t="n">
        <f aca="false">C5*Assumptions!$C$12</f>
        <v>15</v>
      </c>
      <c r="M5" s="32" t="n">
        <f aca="false">IF(D5=0,0,J5)</f>
        <v>0</v>
      </c>
      <c r="N5" s="32" t="n">
        <f aca="false">IF(OR(D5=0,B5="Kasur"),0,J5+1)</f>
        <v>0</v>
      </c>
      <c r="O5" s="21" t="s">
        <v>212</v>
      </c>
      <c r="P5" s="21" t="s">
        <v>213</v>
      </c>
    </row>
    <row r="6" customFormat="false" ht="25.35" hidden="false" customHeight="false" outlineLevel="0" collapsed="false">
      <c r="A6" s="29" t="n">
        <v>1</v>
      </c>
      <c r="B6" s="29" t="s">
        <v>214</v>
      </c>
      <c r="C6" s="30" t="n">
        <v>6</v>
      </c>
      <c r="D6" s="30" t="n">
        <v>3</v>
      </c>
      <c r="E6" s="31" t="n">
        <v>3000</v>
      </c>
      <c r="F6" s="30" t="n">
        <v>0</v>
      </c>
      <c r="G6" s="30" t="n">
        <v>0</v>
      </c>
      <c r="H6" s="30" t="n">
        <v>0</v>
      </c>
      <c r="I6" s="32" t="n">
        <f aca="false">C6*Assumptions!$C$10</f>
        <v>12</v>
      </c>
      <c r="J6" s="32" t="n">
        <f aca="false">ROUNDUP(I6/Assumptions!$C$11,0)</f>
        <v>5</v>
      </c>
      <c r="K6" s="32" t="n">
        <f aca="false">IF(D6=0,J6,J6*2)</f>
        <v>10</v>
      </c>
      <c r="L6" s="33" t="n">
        <f aca="false">C6*Assumptions!$C$12</f>
        <v>3</v>
      </c>
      <c r="M6" s="32" t="n">
        <f aca="false">IF(D6=0,0,J6)</f>
        <v>5</v>
      </c>
      <c r="N6" s="32" t="n">
        <f aca="false">IF(OR(D6=0,B6="Kasur"),0,J6+1)</f>
        <v>6</v>
      </c>
      <c r="O6" s="21" t="s">
        <v>215</v>
      </c>
      <c r="P6" s="21" t="s">
        <v>216</v>
      </c>
    </row>
    <row r="7" customFormat="false" ht="15" hidden="false" customHeight="false" outlineLevel="0" collapsed="false">
      <c r="A7" s="6" t="n">
        <v>2</v>
      </c>
      <c r="B7" s="6" t="s">
        <v>217</v>
      </c>
      <c r="C7" s="30" t="n">
        <v>8</v>
      </c>
      <c r="D7" s="30" t="n">
        <v>3</v>
      </c>
      <c r="E7" s="31" t="n">
        <v>6860</v>
      </c>
      <c r="F7" s="30" t="n">
        <v>0</v>
      </c>
      <c r="G7" s="30" t="n">
        <v>0</v>
      </c>
      <c r="H7" s="30" t="n">
        <v>0</v>
      </c>
      <c r="I7" s="32" t="n">
        <f aca="false">C7*Assumptions!$C$10</f>
        <v>16</v>
      </c>
      <c r="J7" s="32" t="n">
        <f aca="false">ROUNDUP(I7/Assumptions!$C$11,0)</f>
        <v>7</v>
      </c>
      <c r="K7" s="32" t="n">
        <f aca="false">IF(D7=0,J7,J7*2)</f>
        <v>14</v>
      </c>
      <c r="L7" s="33" t="n">
        <f aca="false">C7*Assumptions!$C$12</f>
        <v>4</v>
      </c>
      <c r="M7" s="32" t="n">
        <f aca="false">IF(D7=0,0,J7)</f>
        <v>7</v>
      </c>
      <c r="N7" s="32" t="n">
        <f aca="false">IF(OR(D7=0,B7="Kasur"),0,J7+1)</f>
        <v>8</v>
      </c>
      <c r="O7" s="21" t="s">
        <v>218</v>
      </c>
      <c r="P7" s="21" t="s">
        <v>219</v>
      </c>
    </row>
    <row r="8" customFormat="false" ht="25.35" hidden="false" customHeight="false" outlineLevel="0" collapsed="false">
      <c r="A8" s="6" t="n">
        <v>2</v>
      </c>
      <c r="B8" s="6" t="s">
        <v>220</v>
      </c>
      <c r="C8" s="30" t="n">
        <v>8</v>
      </c>
      <c r="D8" s="30" t="n">
        <v>3</v>
      </c>
      <c r="E8" s="31" t="n">
        <v>6160</v>
      </c>
      <c r="F8" s="30" t="n">
        <v>0</v>
      </c>
      <c r="G8" s="30" t="n">
        <v>0</v>
      </c>
      <c r="H8" s="30" t="n">
        <v>0</v>
      </c>
      <c r="I8" s="32" t="n">
        <f aca="false">C8*Assumptions!$C$10</f>
        <v>16</v>
      </c>
      <c r="J8" s="32" t="n">
        <f aca="false">ROUNDUP(I8/Assumptions!$C$11,0)</f>
        <v>7</v>
      </c>
      <c r="K8" s="32" t="n">
        <f aca="false">IF(D8=0,J8,J8*2)</f>
        <v>14</v>
      </c>
      <c r="L8" s="33" t="n">
        <f aca="false">C8*Assumptions!$C$12</f>
        <v>4</v>
      </c>
      <c r="M8" s="32" t="n">
        <f aca="false">IF(D8=0,0,J8)</f>
        <v>7</v>
      </c>
      <c r="N8" s="32" t="n">
        <f aca="false">IF(OR(D8=0,B8="Kasur"),0,J8+1)</f>
        <v>8</v>
      </c>
      <c r="O8" s="21" t="s">
        <v>221</v>
      </c>
      <c r="P8" s="21" t="s">
        <v>222</v>
      </c>
    </row>
    <row r="9" customFormat="false" ht="25.35" hidden="false" customHeight="false" outlineLevel="0" collapsed="false">
      <c r="A9" s="6" t="n">
        <v>2</v>
      </c>
      <c r="B9" s="6" t="s">
        <v>223</v>
      </c>
      <c r="C9" s="30" t="n">
        <v>4</v>
      </c>
      <c r="D9" s="30" t="n">
        <v>3</v>
      </c>
      <c r="E9" s="31" t="n">
        <v>3160</v>
      </c>
      <c r="F9" s="30" t="n">
        <v>0</v>
      </c>
      <c r="G9" s="30" t="n">
        <v>0</v>
      </c>
      <c r="H9" s="30" t="n">
        <v>0</v>
      </c>
      <c r="I9" s="32" t="n">
        <f aca="false">C9*Assumptions!$C$10</f>
        <v>8</v>
      </c>
      <c r="J9" s="32" t="n">
        <f aca="false">ROUNDUP(I9/Assumptions!$C$11,0)</f>
        <v>4</v>
      </c>
      <c r="K9" s="32" t="n">
        <f aca="false">IF(D9=0,J9,J9*2)</f>
        <v>8</v>
      </c>
      <c r="L9" s="33" t="n">
        <f aca="false">C9*Assumptions!$C$12</f>
        <v>2</v>
      </c>
      <c r="M9" s="32" t="n">
        <f aca="false">IF(D9=0,0,J9)</f>
        <v>4</v>
      </c>
      <c r="N9" s="32" t="n">
        <f aca="false">IF(OR(D9=0,B9="Kasur"),0,J9+1)</f>
        <v>5</v>
      </c>
      <c r="O9" s="21" t="s">
        <v>224</v>
      </c>
      <c r="P9" s="21" t="s">
        <v>225</v>
      </c>
    </row>
    <row r="10" customFormat="false" ht="15" hidden="false" customHeight="false" outlineLevel="0" collapsed="false">
      <c r="A10" s="6" t="n">
        <v>2</v>
      </c>
      <c r="B10" s="6" t="s">
        <v>226</v>
      </c>
      <c r="C10" s="30" t="n">
        <v>4</v>
      </c>
      <c r="D10" s="30" t="n">
        <v>3</v>
      </c>
      <c r="E10" s="31" t="n">
        <v>1780</v>
      </c>
      <c r="F10" s="30" t="n">
        <v>0</v>
      </c>
      <c r="G10" s="30" t="n">
        <v>0</v>
      </c>
      <c r="H10" s="30" t="n">
        <v>0</v>
      </c>
      <c r="I10" s="32" t="n">
        <f aca="false">C10*Assumptions!$C$10</f>
        <v>8</v>
      </c>
      <c r="J10" s="32" t="n">
        <f aca="false">ROUNDUP(I10/Assumptions!$C$11,0)</f>
        <v>4</v>
      </c>
      <c r="K10" s="32" t="n">
        <f aca="false">IF(D10=0,J10,J10*2)</f>
        <v>8</v>
      </c>
      <c r="L10" s="33" t="n">
        <f aca="false">C10*Assumptions!$C$12</f>
        <v>2</v>
      </c>
      <c r="M10" s="32" t="n">
        <f aca="false">IF(D10=0,0,J10)</f>
        <v>4</v>
      </c>
      <c r="N10" s="32" t="n">
        <f aca="false">IF(OR(D10=0,B10="Kasur"),0,J10+1)</f>
        <v>5</v>
      </c>
      <c r="O10" s="21" t="s">
        <v>227</v>
      </c>
      <c r="P10" s="21" t="s">
        <v>228</v>
      </c>
    </row>
    <row r="11" customFormat="false" ht="25.35" hidden="false" customHeight="false" outlineLevel="0" collapsed="false">
      <c r="A11" s="6" t="n">
        <v>2</v>
      </c>
      <c r="B11" s="6" t="s">
        <v>229</v>
      </c>
      <c r="C11" s="30" t="n">
        <v>4</v>
      </c>
      <c r="D11" s="30" t="n">
        <v>2</v>
      </c>
      <c r="E11" s="31" t="n">
        <v>1200</v>
      </c>
      <c r="F11" s="30" t="n">
        <v>0</v>
      </c>
      <c r="G11" s="30" t="n">
        <v>0</v>
      </c>
      <c r="H11" s="30" t="n">
        <v>0</v>
      </c>
      <c r="I11" s="32" t="n">
        <f aca="false">C11*Assumptions!$C$10</f>
        <v>8</v>
      </c>
      <c r="J11" s="32" t="n">
        <f aca="false">ROUNDUP(I11/Assumptions!$C$11,0)</f>
        <v>4</v>
      </c>
      <c r="K11" s="32" t="n">
        <f aca="false">IF(D11=0,J11,J11*2)</f>
        <v>8</v>
      </c>
      <c r="L11" s="33" t="n">
        <f aca="false">C11*Assumptions!$C$12</f>
        <v>2</v>
      </c>
      <c r="M11" s="32" t="n">
        <f aca="false">IF(D11=0,0,J11)</f>
        <v>4</v>
      </c>
      <c r="N11" s="32" t="n">
        <f aca="false">IF(OR(D11=0,B11="Kasur"),0,J11+1)</f>
        <v>0</v>
      </c>
      <c r="O11" s="21" t="s">
        <v>230</v>
      </c>
      <c r="P11" s="21" t="s">
        <v>231</v>
      </c>
    </row>
    <row r="12" customFormat="false" ht="25.35" hidden="false" customHeight="false" outlineLevel="0" collapsed="false">
      <c r="A12" s="6" t="n">
        <v>2</v>
      </c>
      <c r="B12" s="6" t="s">
        <v>232</v>
      </c>
      <c r="C12" s="30" t="n">
        <v>4</v>
      </c>
      <c r="D12" s="30" t="n">
        <v>3</v>
      </c>
      <c r="E12" s="31" t="n">
        <v>8000</v>
      </c>
      <c r="F12" s="30" t="n">
        <v>0</v>
      </c>
      <c r="G12" s="30" t="n">
        <v>0</v>
      </c>
      <c r="H12" s="30" t="n">
        <v>0</v>
      </c>
      <c r="I12" s="32" t="n">
        <f aca="false">C12*Assumptions!$C$10</f>
        <v>8</v>
      </c>
      <c r="J12" s="32" t="n">
        <f aca="false">ROUNDUP(I12/Assumptions!$C$11,0)</f>
        <v>4</v>
      </c>
      <c r="K12" s="32" t="n">
        <f aca="false">IF(D12=0,J12,J12*2)</f>
        <v>8</v>
      </c>
      <c r="L12" s="33" t="n">
        <f aca="false">C12*Assumptions!$C$12</f>
        <v>2</v>
      </c>
      <c r="M12" s="32" t="n">
        <f aca="false">IF(D12=0,0,J12)</f>
        <v>4</v>
      </c>
      <c r="N12" s="32" t="n">
        <f aca="false">IF(OR(D12=0,B12="Kasur"),0,J12+1)</f>
        <v>5</v>
      </c>
      <c r="O12" s="21" t="s">
        <v>233</v>
      </c>
      <c r="P12" s="21" t="s">
        <v>234</v>
      </c>
    </row>
    <row r="13" customFormat="false" ht="25.35" hidden="false" customHeight="false" outlineLevel="0" collapsed="false">
      <c r="A13" s="6" t="n">
        <v>3</v>
      </c>
      <c r="B13" s="6" t="s">
        <v>235</v>
      </c>
      <c r="C13" s="30" t="n">
        <v>6</v>
      </c>
      <c r="D13" s="30" t="n">
        <v>1</v>
      </c>
      <c r="E13" s="31" t="n">
        <v>0</v>
      </c>
      <c r="F13" s="30" t="n">
        <v>2</v>
      </c>
      <c r="G13" s="30" t="n">
        <v>4</v>
      </c>
      <c r="H13" s="30" t="n">
        <v>2</v>
      </c>
      <c r="I13" s="32" t="n">
        <f aca="false">C13*Assumptions!$C$10</f>
        <v>12</v>
      </c>
      <c r="J13" s="32" t="n">
        <f aca="false">ROUNDUP(I13/Assumptions!$C$11,0)</f>
        <v>5</v>
      </c>
      <c r="K13" s="32" t="n">
        <f aca="false">IF(D13=0,J13,J13*2)</f>
        <v>10</v>
      </c>
      <c r="L13" s="33" t="n">
        <f aca="false">C13*Assumptions!$C$12</f>
        <v>3</v>
      </c>
      <c r="M13" s="32" t="n">
        <f aca="false">IF(D13=0,0,J13)</f>
        <v>5</v>
      </c>
      <c r="N13" s="32" t="n">
        <f aca="false">IF(OR(D13=0,B13="Kasur"),0,J13+1)</f>
        <v>6</v>
      </c>
      <c r="O13" s="21" t="s">
        <v>236</v>
      </c>
      <c r="P13" s="21" t="s">
        <v>237</v>
      </c>
    </row>
    <row r="14" customFormat="false" ht="15" hidden="false" customHeight="false" outlineLevel="0" collapsed="false">
      <c r="A14" s="6" t="n">
        <v>3</v>
      </c>
      <c r="B14" s="6" t="s">
        <v>238</v>
      </c>
      <c r="C14" s="30" t="n">
        <v>4</v>
      </c>
      <c r="D14" s="30" t="n">
        <v>1</v>
      </c>
      <c r="E14" s="31" t="n">
        <v>0</v>
      </c>
      <c r="F14" s="30" t="n">
        <v>0</v>
      </c>
      <c r="G14" s="30" t="n">
        <v>3</v>
      </c>
      <c r="H14" s="30" t="n">
        <v>2</v>
      </c>
      <c r="I14" s="32" t="n">
        <f aca="false">C14*Assumptions!$C$10</f>
        <v>8</v>
      </c>
      <c r="J14" s="32" t="n">
        <f aca="false">ROUNDUP(I14/Assumptions!$C$11,0)</f>
        <v>4</v>
      </c>
      <c r="K14" s="32" t="n">
        <f aca="false">IF(D14=0,J14,J14*2)</f>
        <v>8</v>
      </c>
      <c r="L14" s="33" t="n">
        <f aca="false">C14*Assumptions!$C$12</f>
        <v>2</v>
      </c>
      <c r="M14" s="32" t="n">
        <f aca="false">IF(D14=0,0,J14)</f>
        <v>4</v>
      </c>
      <c r="N14" s="32" t="n">
        <f aca="false">IF(OR(D14=0,B14="Kasur"),0,J14+1)</f>
        <v>5</v>
      </c>
      <c r="O14" s="21" t="s">
        <v>239</v>
      </c>
      <c r="P14" s="21" t="s">
        <v>240</v>
      </c>
    </row>
    <row r="15" customFormat="false" ht="15" hidden="false" customHeight="false" outlineLevel="0" collapsed="false">
      <c r="A15" s="6" t="n">
        <v>3</v>
      </c>
      <c r="B15" s="6" t="s">
        <v>241</v>
      </c>
      <c r="C15" s="30" t="n">
        <v>4</v>
      </c>
      <c r="D15" s="30" t="n">
        <v>1</v>
      </c>
      <c r="E15" s="31" t="n">
        <v>0</v>
      </c>
      <c r="F15" s="30" t="n">
        <v>0</v>
      </c>
      <c r="G15" s="30" t="n">
        <v>3</v>
      </c>
      <c r="H15" s="30" t="n">
        <v>2</v>
      </c>
      <c r="I15" s="32" t="n">
        <f aca="false">C15*Assumptions!$C$10</f>
        <v>8</v>
      </c>
      <c r="J15" s="32" t="n">
        <f aca="false">ROUNDUP(I15/Assumptions!$C$11,0)</f>
        <v>4</v>
      </c>
      <c r="K15" s="32" t="n">
        <f aca="false">IF(D15=0,J15,J15*2)</f>
        <v>8</v>
      </c>
      <c r="L15" s="33" t="n">
        <f aca="false">C15*Assumptions!$C$12</f>
        <v>2</v>
      </c>
      <c r="M15" s="32" t="n">
        <f aca="false">IF(D15=0,0,J15)</f>
        <v>4</v>
      </c>
      <c r="N15" s="32" t="n">
        <f aca="false">IF(OR(D15=0,B15="Kasur"),0,J15+1)</f>
        <v>5</v>
      </c>
      <c r="O15" s="21" t="s">
        <v>242</v>
      </c>
      <c r="P15" s="21" t="s">
        <v>243</v>
      </c>
    </row>
    <row r="16" customFormat="false" ht="15" hidden="false" customHeight="false" outlineLevel="0" collapsed="false">
      <c r="A16" s="6" t="n">
        <v>3</v>
      </c>
      <c r="B16" s="6" t="s">
        <v>244</v>
      </c>
      <c r="C16" s="30" t="n">
        <v>4</v>
      </c>
      <c r="D16" s="30" t="n">
        <v>3</v>
      </c>
      <c r="E16" s="31" t="n">
        <v>5960</v>
      </c>
      <c r="F16" s="30" t="n">
        <v>0</v>
      </c>
      <c r="G16" s="30" t="n">
        <v>0</v>
      </c>
      <c r="H16" s="30" t="n">
        <v>0</v>
      </c>
      <c r="I16" s="32" t="n">
        <f aca="false">C16*Assumptions!$C$10</f>
        <v>8</v>
      </c>
      <c r="J16" s="32" t="n">
        <f aca="false">ROUNDUP(I16/Assumptions!$C$11,0)</f>
        <v>4</v>
      </c>
      <c r="K16" s="32" t="n">
        <f aca="false">IF(D16=0,J16,J16*2)</f>
        <v>8</v>
      </c>
      <c r="L16" s="33" t="n">
        <f aca="false">C16*Assumptions!$C$12</f>
        <v>2</v>
      </c>
      <c r="M16" s="32" t="n">
        <f aca="false">IF(D16=0,0,J16)</f>
        <v>4</v>
      </c>
      <c r="N16" s="32" t="n">
        <f aca="false">IF(OR(D16=0,B16="Kasur"),0,J16+1)</f>
        <v>5</v>
      </c>
      <c r="O16" s="21" t="s">
        <v>245</v>
      </c>
      <c r="P16" s="21" t="s">
        <v>246</v>
      </c>
    </row>
    <row r="17" customFormat="false" ht="25.35" hidden="false" customHeight="false" outlineLevel="0" collapsed="false">
      <c r="A17" s="6" t="n">
        <v>3</v>
      </c>
      <c r="B17" s="6" t="s">
        <v>247</v>
      </c>
      <c r="C17" s="30" t="n">
        <v>4</v>
      </c>
      <c r="D17" s="30" t="n">
        <v>1</v>
      </c>
      <c r="E17" s="31" t="n">
        <v>9000</v>
      </c>
      <c r="F17" s="30" t="n">
        <v>0</v>
      </c>
      <c r="G17" s="30" t="n">
        <v>0</v>
      </c>
      <c r="H17" s="30" t="n">
        <v>2</v>
      </c>
      <c r="I17" s="32" t="n">
        <f aca="false">C17*Assumptions!$C$10</f>
        <v>8</v>
      </c>
      <c r="J17" s="32" t="n">
        <f aca="false">ROUNDUP(I17/Assumptions!$C$11,0)</f>
        <v>4</v>
      </c>
      <c r="K17" s="32" t="n">
        <f aca="false">IF(D17=0,J17,J17*2)</f>
        <v>8</v>
      </c>
      <c r="L17" s="33" t="n">
        <f aca="false">C17*Assumptions!$C$12</f>
        <v>2</v>
      </c>
      <c r="M17" s="32" t="n">
        <f aca="false">IF(D17=0,0,J17)</f>
        <v>4</v>
      </c>
      <c r="N17" s="32" t="n">
        <f aca="false">IF(OR(D17=0,B17="Kasur"),0,J17+1)</f>
        <v>5</v>
      </c>
      <c r="O17" s="21" t="s">
        <v>248</v>
      </c>
      <c r="P17" s="21" t="s">
        <v>249</v>
      </c>
    </row>
    <row r="18" customFormat="false" ht="15" hidden="false" customHeight="false" outlineLevel="0" collapsed="false">
      <c r="B18" s="13" t="s">
        <v>23</v>
      </c>
      <c r="C18" s="13" t="n">
        <f aca="false">SUM(C5:C17)</f>
        <v>90</v>
      </c>
    </row>
    <row r="20" customFormat="false" ht="15" hidden="false" customHeight="false" outlineLevel="0" collapsed="false">
      <c r="A20" s="3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20" t="s">
        <v>251</v>
      </c>
    </row>
    <row r="2" customFormat="false" ht="15" hidden="false" customHeight="false" outlineLevel="0" collapsed="false">
      <c r="A2" s="3" t="s">
        <v>252</v>
      </c>
    </row>
    <row r="4" customFormat="false" ht="25.35" hidden="false" customHeight="false" outlineLevel="0" collapsed="false">
      <c r="A4" s="5" t="s">
        <v>195</v>
      </c>
      <c r="B4" s="5" t="s">
        <v>3</v>
      </c>
      <c r="C4" s="5" t="s">
        <v>253</v>
      </c>
      <c r="D4" s="5" t="s">
        <v>254</v>
      </c>
      <c r="E4" s="5" t="s">
        <v>44</v>
      </c>
      <c r="F4" s="5" t="s">
        <v>255</v>
      </c>
      <c r="G4" s="5" t="s">
        <v>256</v>
      </c>
      <c r="H4" s="5" t="s">
        <v>257</v>
      </c>
      <c r="I4" s="5" t="s">
        <v>258</v>
      </c>
    </row>
    <row r="5" customFormat="false" ht="25.35" hidden="false" customHeight="false" outlineLevel="0" collapsed="false">
      <c r="A5" s="34" t="n">
        <v>1</v>
      </c>
      <c r="B5" s="14" t="s">
        <v>11</v>
      </c>
      <c r="C5" s="35" t="s">
        <v>259</v>
      </c>
      <c r="D5" s="36" t="n">
        <f aca="false">Regions!K5</f>
        <v>25</v>
      </c>
      <c r="E5" s="14" t="s">
        <v>260</v>
      </c>
      <c r="F5" s="37" t="n">
        <f aca="false">Assumptions!$C$7</f>
        <v>15</v>
      </c>
      <c r="G5" s="16" t="n">
        <f aca="false">D5*F5</f>
        <v>375</v>
      </c>
      <c r="H5" s="38" t="n">
        <f aca="false">G5*Assumptions!$C$5</f>
        <v>103875</v>
      </c>
      <c r="I5" s="35" t="s">
        <v>261</v>
      </c>
    </row>
    <row r="6" customFormat="false" ht="15" hidden="false" customHeight="false" outlineLevel="0" collapsed="false">
      <c r="A6" s="34" t="n">
        <v>1</v>
      </c>
      <c r="B6" s="14" t="s">
        <v>11</v>
      </c>
      <c r="C6" s="35" t="s">
        <v>262</v>
      </c>
      <c r="D6" s="36" t="n">
        <f aca="false">Regions!L5</f>
        <v>15</v>
      </c>
      <c r="E6" s="14" t="s">
        <v>72</v>
      </c>
      <c r="F6" s="37" t="n">
        <f aca="false">Assumptions!$C$9</f>
        <v>15</v>
      </c>
      <c r="G6" s="16" t="n">
        <f aca="false">D6*F6</f>
        <v>225</v>
      </c>
      <c r="H6" s="38" t="n">
        <f aca="false">G6*Assumptions!$C$5</f>
        <v>62325</v>
      </c>
      <c r="I6" s="35" t="s">
        <v>263</v>
      </c>
    </row>
    <row r="7" customFormat="false" ht="15" hidden="false" customHeight="false" outlineLevel="0" collapsed="false">
      <c r="A7" s="34" t="n">
        <v>1</v>
      </c>
      <c r="B7" s="14" t="s">
        <v>11</v>
      </c>
      <c r="C7" s="35" t="s">
        <v>264</v>
      </c>
      <c r="D7" s="36" t="n">
        <f aca="false">Regions!M5</f>
        <v>0</v>
      </c>
      <c r="E7" s="14" t="s">
        <v>72</v>
      </c>
      <c r="F7" s="37" t="n">
        <f aca="false">Assumptions!$C$8</f>
        <v>25</v>
      </c>
      <c r="G7" s="16" t="n">
        <f aca="false">D7*F7</f>
        <v>0</v>
      </c>
      <c r="H7" s="38" t="n">
        <f aca="false">G7*Assumptions!$C$5</f>
        <v>0</v>
      </c>
      <c r="I7" s="35" t="s">
        <v>265</v>
      </c>
    </row>
    <row r="8" customFormat="false" ht="15" hidden="false" customHeight="false" outlineLevel="0" collapsed="false">
      <c r="A8" s="34" t="n">
        <v>1</v>
      </c>
      <c r="B8" s="14" t="s">
        <v>11</v>
      </c>
      <c r="C8" s="35" t="s">
        <v>266</v>
      </c>
      <c r="D8" s="36" t="n">
        <f aca="false">Regions!J5</f>
        <v>25</v>
      </c>
      <c r="E8" s="14" t="s">
        <v>267</v>
      </c>
      <c r="F8" s="37" t="n">
        <f aca="false">Assumptions!$C$22</f>
        <v>8</v>
      </c>
      <c r="G8" s="16" t="n">
        <f aca="false">D8*F8</f>
        <v>200</v>
      </c>
      <c r="H8" s="38" t="n">
        <f aca="false">G8*Assumptions!$C$5</f>
        <v>55400</v>
      </c>
      <c r="I8" s="35" t="s">
        <v>268</v>
      </c>
    </row>
    <row r="9" customFormat="false" ht="15" hidden="false" customHeight="false" outlineLevel="0" collapsed="false">
      <c r="A9" s="34" t="n">
        <v>1</v>
      </c>
      <c r="B9" s="14" t="s">
        <v>11</v>
      </c>
      <c r="C9" s="35" t="s">
        <v>269</v>
      </c>
      <c r="D9" s="36" t="n">
        <f aca="false">ROUNDUP(Regions!D5/Assumptions!$C$20,0)*Regions!N5</f>
        <v>0</v>
      </c>
      <c r="E9" s="14" t="s">
        <v>270</v>
      </c>
      <c r="F9" s="37" t="n">
        <f aca="false">Assumptions!$C$19</f>
        <v>35</v>
      </c>
      <c r="G9" s="16" t="n">
        <f aca="false">D9*F9</f>
        <v>0</v>
      </c>
      <c r="H9" s="38" t="n">
        <f aca="false">G9*Assumptions!$C$5</f>
        <v>0</v>
      </c>
      <c r="I9" s="35" t="s">
        <v>271</v>
      </c>
    </row>
    <row r="10" customFormat="false" ht="15" hidden="false" customHeight="false" outlineLevel="0" collapsed="false">
      <c r="A10" s="34" t="n">
        <v>1</v>
      </c>
      <c r="B10" s="14" t="s">
        <v>11</v>
      </c>
      <c r="C10" s="35" t="s">
        <v>272</v>
      </c>
      <c r="D10" s="36" t="n">
        <f aca="false">Regions!D5*Regions!N5</f>
        <v>0</v>
      </c>
      <c r="E10" s="14" t="s">
        <v>273</v>
      </c>
      <c r="F10" s="37" t="n">
        <f aca="false">Assumptions!$C$21</f>
        <v>10</v>
      </c>
      <c r="G10" s="16" t="n">
        <f aca="false">D10*F10</f>
        <v>0</v>
      </c>
      <c r="H10" s="38" t="n">
        <f aca="false">G10*Assumptions!$C$5</f>
        <v>0</v>
      </c>
      <c r="I10" s="35" t="s">
        <v>274</v>
      </c>
    </row>
    <row r="11" customFormat="false" ht="15" hidden="false" customHeight="false" outlineLevel="0" collapsed="false">
      <c r="A11" s="34" t="n">
        <v>1</v>
      </c>
      <c r="B11" s="14" t="s">
        <v>12</v>
      </c>
      <c r="C11" s="35" t="s">
        <v>275</v>
      </c>
      <c r="D11" s="36" t="n">
        <f aca="false">Regions!C5*Assumptions!$C$13*Assumptions!$C$15/60</f>
        <v>62.5</v>
      </c>
      <c r="E11" s="14" t="s">
        <v>140</v>
      </c>
      <c r="F11" s="37" t="n">
        <f aca="false">Assumptions!$C$17</f>
        <v>12</v>
      </c>
      <c r="G11" s="16" t="n">
        <f aca="false">D11*F11</f>
        <v>750</v>
      </c>
      <c r="H11" s="38" t="n">
        <f aca="false">G11*Assumptions!$C$5</f>
        <v>207750</v>
      </c>
      <c r="I11" s="35" t="s">
        <v>276</v>
      </c>
    </row>
    <row r="12" customFormat="false" ht="15" hidden="false" customHeight="false" outlineLevel="0" collapsed="false">
      <c r="A12" s="34" t="n">
        <v>1</v>
      </c>
      <c r="B12" s="14" t="s">
        <v>12</v>
      </c>
      <c r="C12" s="35" t="s">
        <v>277</v>
      </c>
      <c r="D12" s="36" t="n">
        <f aca="false">Regions!C5*Assumptions!$C$14</f>
        <v>90</v>
      </c>
      <c r="E12" s="14" t="s">
        <v>76</v>
      </c>
      <c r="F12" s="37" t="n">
        <f aca="false">Assumptions!$C$16/Assumptions!$C$5</f>
        <v>1.80505415162455</v>
      </c>
      <c r="G12" s="16" t="n">
        <f aca="false">D12*F12</f>
        <v>162.454873646209</v>
      </c>
      <c r="H12" s="38" t="n">
        <f aca="false">G12*Assumptions!$C$5</f>
        <v>45000</v>
      </c>
      <c r="I12" s="35" t="s">
        <v>278</v>
      </c>
    </row>
    <row r="13" customFormat="false" ht="15" hidden="false" customHeight="false" outlineLevel="0" collapsed="false">
      <c r="A13" s="34" t="n">
        <v>1</v>
      </c>
      <c r="B13" s="14" t="s">
        <v>12</v>
      </c>
      <c r="C13" s="35" t="s">
        <v>279</v>
      </c>
      <c r="D13" s="36" t="n">
        <f aca="false">Regions!C5*Assumptions!$C$13</f>
        <v>150</v>
      </c>
      <c r="E13" s="14" t="s">
        <v>76</v>
      </c>
      <c r="F13" s="37" t="n">
        <f aca="false">Assumptions!$C$28</f>
        <v>0.15</v>
      </c>
      <c r="G13" s="16" t="n">
        <f aca="false">D13*F13</f>
        <v>22.5</v>
      </c>
      <c r="H13" s="38" t="n">
        <f aca="false">G13*Assumptions!$C$5</f>
        <v>6232.5</v>
      </c>
      <c r="I13" s="35"/>
    </row>
    <row r="14" customFormat="false" ht="15" hidden="false" customHeight="false" outlineLevel="0" collapsed="false">
      <c r="A14" s="34" t="n">
        <v>1</v>
      </c>
      <c r="B14" s="14" t="s">
        <v>13</v>
      </c>
      <c r="C14" s="35" t="s">
        <v>280</v>
      </c>
      <c r="D14" s="36" t="n">
        <f aca="false">Regions!C5*Assumptions!$C$18</f>
        <v>15</v>
      </c>
      <c r="E14" s="14" t="s">
        <v>72</v>
      </c>
      <c r="F14" s="37" t="n">
        <f aca="false">Assumptions!$C$7</f>
        <v>15</v>
      </c>
      <c r="G14" s="16" t="n">
        <f aca="false">D14*F14</f>
        <v>225</v>
      </c>
      <c r="H14" s="38" t="n">
        <f aca="false">G14*Assumptions!$C$5</f>
        <v>62325</v>
      </c>
      <c r="I14" s="35" t="s">
        <v>281</v>
      </c>
    </row>
    <row r="15" customFormat="false" ht="25.35" hidden="false" customHeight="false" outlineLevel="0" collapsed="false">
      <c r="A15" s="34" t="n">
        <v>1</v>
      </c>
      <c r="B15" s="14" t="s">
        <v>11</v>
      </c>
      <c r="C15" s="35" t="s">
        <v>282</v>
      </c>
      <c r="D15" s="36" t="n">
        <f aca="false">Regions!K6</f>
        <v>10</v>
      </c>
      <c r="E15" s="14" t="s">
        <v>260</v>
      </c>
      <c r="F15" s="37" t="n">
        <f aca="false">Assumptions!$C$7</f>
        <v>15</v>
      </c>
      <c r="G15" s="16" t="n">
        <f aca="false">D15*F15</f>
        <v>150</v>
      </c>
      <c r="H15" s="38" t="n">
        <f aca="false">G15*Assumptions!$C$5</f>
        <v>41550</v>
      </c>
      <c r="I15" s="35" t="s">
        <v>261</v>
      </c>
    </row>
    <row r="16" customFormat="false" ht="15" hidden="false" customHeight="false" outlineLevel="0" collapsed="false">
      <c r="A16" s="34" t="n">
        <v>1</v>
      </c>
      <c r="B16" s="14" t="s">
        <v>11</v>
      </c>
      <c r="C16" s="35" t="s">
        <v>283</v>
      </c>
      <c r="D16" s="36" t="n">
        <f aca="false">Regions!L6</f>
        <v>3</v>
      </c>
      <c r="E16" s="14" t="s">
        <v>72</v>
      </c>
      <c r="F16" s="37" t="n">
        <f aca="false">Assumptions!$C$9</f>
        <v>15</v>
      </c>
      <c r="G16" s="16" t="n">
        <f aca="false">D16*F16</f>
        <v>45</v>
      </c>
      <c r="H16" s="38" t="n">
        <f aca="false">G16*Assumptions!$C$5</f>
        <v>12465</v>
      </c>
      <c r="I16" s="35" t="s">
        <v>263</v>
      </c>
    </row>
    <row r="17" customFormat="false" ht="15" hidden="false" customHeight="false" outlineLevel="0" collapsed="false">
      <c r="A17" s="34" t="n">
        <v>1</v>
      </c>
      <c r="B17" s="14" t="s">
        <v>11</v>
      </c>
      <c r="C17" s="35" t="s">
        <v>284</v>
      </c>
      <c r="D17" s="36" t="n">
        <f aca="false">Regions!M6</f>
        <v>5</v>
      </c>
      <c r="E17" s="14" t="s">
        <v>72</v>
      </c>
      <c r="F17" s="37" t="n">
        <f aca="false">Assumptions!$C$8</f>
        <v>25</v>
      </c>
      <c r="G17" s="16" t="n">
        <f aca="false">D17*F17</f>
        <v>125</v>
      </c>
      <c r="H17" s="38" t="n">
        <f aca="false">G17*Assumptions!$C$5</f>
        <v>34625</v>
      </c>
      <c r="I17" s="35" t="s">
        <v>265</v>
      </c>
    </row>
    <row r="18" customFormat="false" ht="15" hidden="false" customHeight="false" outlineLevel="0" collapsed="false">
      <c r="A18" s="34" t="n">
        <v>1</v>
      </c>
      <c r="B18" s="14" t="s">
        <v>11</v>
      </c>
      <c r="C18" s="35" t="s">
        <v>285</v>
      </c>
      <c r="D18" s="36" t="n">
        <f aca="false">Regions!J6</f>
        <v>5</v>
      </c>
      <c r="E18" s="14" t="s">
        <v>267</v>
      </c>
      <c r="F18" s="37" t="n">
        <f aca="false">Assumptions!$C$22</f>
        <v>8</v>
      </c>
      <c r="G18" s="16" t="n">
        <f aca="false">D18*F18</f>
        <v>40</v>
      </c>
      <c r="H18" s="38" t="n">
        <f aca="false">G18*Assumptions!$C$5</f>
        <v>11080</v>
      </c>
      <c r="I18" s="35" t="s">
        <v>268</v>
      </c>
    </row>
    <row r="19" customFormat="false" ht="15" hidden="false" customHeight="false" outlineLevel="0" collapsed="false">
      <c r="A19" s="34" t="n">
        <v>1</v>
      </c>
      <c r="B19" s="14" t="s">
        <v>11</v>
      </c>
      <c r="C19" s="35" t="s">
        <v>286</v>
      </c>
      <c r="D19" s="36" t="n">
        <f aca="false">Regions!D6</f>
        <v>3</v>
      </c>
      <c r="E19" s="14" t="s">
        <v>287</v>
      </c>
      <c r="F19" s="37" t="n">
        <f aca="false">Regions!E6/Assumptions!$C$5</f>
        <v>10.8303249097473</v>
      </c>
      <c r="G19" s="16" t="n">
        <f aca="false">D19*F19</f>
        <v>32.4909747292419</v>
      </c>
      <c r="H19" s="38" t="n">
        <f aca="false">G19*Assumptions!$C$5</f>
        <v>9000</v>
      </c>
      <c r="I19" s="35" t="s">
        <v>288</v>
      </c>
    </row>
    <row r="20" customFormat="false" ht="15" hidden="false" customHeight="false" outlineLevel="0" collapsed="false">
      <c r="A20" s="34" t="n">
        <v>1</v>
      </c>
      <c r="B20" s="14" t="s">
        <v>11</v>
      </c>
      <c r="C20" s="35" t="s">
        <v>289</v>
      </c>
      <c r="D20" s="36" t="n">
        <f aca="false">ROUNDUP(Regions!D6/Assumptions!$C$20,0)*Regions!N6</f>
        <v>12</v>
      </c>
      <c r="E20" s="14" t="s">
        <v>270</v>
      </c>
      <c r="F20" s="37" t="n">
        <f aca="false">Assumptions!$C$19</f>
        <v>35</v>
      </c>
      <c r="G20" s="16" t="n">
        <f aca="false">D20*F20</f>
        <v>420</v>
      </c>
      <c r="H20" s="38" t="n">
        <f aca="false">G20*Assumptions!$C$5</f>
        <v>116340</v>
      </c>
      <c r="I20" s="35" t="s">
        <v>271</v>
      </c>
    </row>
    <row r="21" customFormat="false" ht="15" hidden="false" customHeight="false" outlineLevel="0" collapsed="false">
      <c r="A21" s="34" t="n">
        <v>1</v>
      </c>
      <c r="B21" s="14" t="s">
        <v>11</v>
      </c>
      <c r="C21" s="35" t="s">
        <v>290</v>
      </c>
      <c r="D21" s="36" t="n">
        <f aca="false">Regions!D6*Regions!N6</f>
        <v>18</v>
      </c>
      <c r="E21" s="14" t="s">
        <v>273</v>
      </c>
      <c r="F21" s="37" t="n">
        <f aca="false">Assumptions!$C$21</f>
        <v>10</v>
      </c>
      <c r="G21" s="16" t="n">
        <f aca="false">D21*F21</f>
        <v>180</v>
      </c>
      <c r="H21" s="38" t="n">
        <f aca="false">G21*Assumptions!$C$5</f>
        <v>49860</v>
      </c>
      <c r="I21" s="35" t="s">
        <v>274</v>
      </c>
    </row>
    <row r="22" customFormat="false" ht="15" hidden="false" customHeight="false" outlineLevel="0" collapsed="false">
      <c r="A22" s="34" t="n">
        <v>1</v>
      </c>
      <c r="B22" s="14" t="s">
        <v>12</v>
      </c>
      <c r="C22" s="35" t="s">
        <v>291</v>
      </c>
      <c r="D22" s="36" t="n">
        <f aca="false">Regions!C6*Assumptions!$C$13*Assumptions!$C$15/60</f>
        <v>12.5</v>
      </c>
      <c r="E22" s="14" t="s">
        <v>140</v>
      </c>
      <c r="F22" s="37" t="n">
        <f aca="false">Assumptions!$C$17</f>
        <v>12</v>
      </c>
      <c r="G22" s="16" t="n">
        <f aca="false">D22*F22</f>
        <v>150</v>
      </c>
      <c r="H22" s="38" t="n">
        <f aca="false">G22*Assumptions!$C$5</f>
        <v>41550</v>
      </c>
      <c r="I22" s="35" t="s">
        <v>276</v>
      </c>
    </row>
    <row r="23" customFormat="false" ht="15" hidden="false" customHeight="false" outlineLevel="0" collapsed="false">
      <c r="A23" s="34" t="n">
        <v>1</v>
      </c>
      <c r="B23" s="14" t="s">
        <v>12</v>
      </c>
      <c r="C23" s="35" t="s">
        <v>292</v>
      </c>
      <c r="D23" s="36" t="n">
        <f aca="false">Regions!C6*Assumptions!$C$14</f>
        <v>18</v>
      </c>
      <c r="E23" s="14" t="s">
        <v>76</v>
      </c>
      <c r="F23" s="37" t="n">
        <f aca="false">Assumptions!$C$16/Assumptions!$C$5</f>
        <v>1.80505415162455</v>
      </c>
      <c r="G23" s="16" t="n">
        <f aca="false">D23*F23</f>
        <v>32.4909747292419</v>
      </c>
      <c r="H23" s="38" t="n">
        <f aca="false">G23*Assumptions!$C$5</f>
        <v>9000</v>
      </c>
      <c r="I23" s="35" t="s">
        <v>278</v>
      </c>
    </row>
    <row r="24" customFormat="false" ht="15" hidden="false" customHeight="false" outlineLevel="0" collapsed="false">
      <c r="A24" s="34" t="n">
        <v>1</v>
      </c>
      <c r="B24" s="14" t="s">
        <v>12</v>
      </c>
      <c r="C24" s="35" t="s">
        <v>293</v>
      </c>
      <c r="D24" s="36" t="n">
        <f aca="false">Regions!C6*Assumptions!$C$13</f>
        <v>30</v>
      </c>
      <c r="E24" s="14" t="s">
        <v>76</v>
      </c>
      <c r="F24" s="37" t="n">
        <f aca="false">Assumptions!$C$28</f>
        <v>0.15</v>
      </c>
      <c r="G24" s="16" t="n">
        <f aca="false">D24*F24</f>
        <v>4.5</v>
      </c>
      <c r="H24" s="38" t="n">
        <f aca="false">G24*Assumptions!$C$5</f>
        <v>1246.5</v>
      </c>
      <c r="I24" s="35"/>
    </row>
    <row r="25" customFormat="false" ht="15" hidden="false" customHeight="false" outlineLevel="0" collapsed="false">
      <c r="A25" s="34" t="n">
        <v>1</v>
      </c>
      <c r="B25" s="14" t="s">
        <v>13</v>
      </c>
      <c r="C25" s="35" t="s">
        <v>294</v>
      </c>
      <c r="D25" s="36" t="n">
        <f aca="false">Regions!C6*Assumptions!$C$18</f>
        <v>3</v>
      </c>
      <c r="E25" s="14" t="s">
        <v>72</v>
      </c>
      <c r="F25" s="37" t="n">
        <f aca="false">Assumptions!$C$7</f>
        <v>15</v>
      </c>
      <c r="G25" s="16" t="n">
        <f aca="false">D25*F25</f>
        <v>45</v>
      </c>
      <c r="H25" s="38" t="n">
        <f aca="false">G25*Assumptions!$C$5</f>
        <v>12465</v>
      </c>
      <c r="I25" s="35" t="s">
        <v>281</v>
      </c>
    </row>
    <row r="26" customFormat="false" ht="25.35" hidden="false" customHeight="false" outlineLevel="0" collapsed="false">
      <c r="A26" s="14" t="n">
        <v>2</v>
      </c>
      <c r="B26" s="14" t="s">
        <v>11</v>
      </c>
      <c r="C26" s="35" t="s">
        <v>295</v>
      </c>
      <c r="D26" s="36" t="n">
        <f aca="false">Regions!K7</f>
        <v>14</v>
      </c>
      <c r="E26" s="14" t="s">
        <v>260</v>
      </c>
      <c r="F26" s="37" t="n">
        <f aca="false">Assumptions!$C$7</f>
        <v>15</v>
      </c>
      <c r="G26" s="16" t="n">
        <f aca="false">D26*F26</f>
        <v>210</v>
      </c>
      <c r="H26" s="38" t="n">
        <f aca="false">G26*Assumptions!$C$5</f>
        <v>58170</v>
      </c>
      <c r="I26" s="35" t="s">
        <v>261</v>
      </c>
    </row>
    <row r="27" customFormat="false" ht="15" hidden="false" customHeight="false" outlineLevel="0" collapsed="false">
      <c r="A27" s="14" t="n">
        <v>2</v>
      </c>
      <c r="B27" s="14" t="s">
        <v>11</v>
      </c>
      <c r="C27" s="35" t="s">
        <v>296</v>
      </c>
      <c r="D27" s="36" t="n">
        <f aca="false">Regions!L7</f>
        <v>4</v>
      </c>
      <c r="E27" s="14" t="s">
        <v>72</v>
      </c>
      <c r="F27" s="37" t="n">
        <f aca="false">Assumptions!$C$9</f>
        <v>15</v>
      </c>
      <c r="G27" s="16" t="n">
        <f aca="false">D27*F27</f>
        <v>60</v>
      </c>
      <c r="H27" s="38" t="n">
        <f aca="false">G27*Assumptions!$C$5</f>
        <v>16620</v>
      </c>
      <c r="I27" s="35" t="s">
        <v>263</v>
      </c>
    </row>
    <row r="28" customFormat="false" ht="15" hidden="false" customHeight="false" outlineLevel="0" collapsed="false">
      <c r="A28" s="14" t="n">
        <v>2</v>
      </c>
      <c r="B28" s="14" t="s">
        <v>11</v>
      </c>
      <c r="C28" s="35" t="s">
        <v>297</v>
      </c>
      <c r="D28" s="36" t="n">
        <f aca="false">Regions!M7</f>
        <v>7</v>
      </c>
      <c r="E28" s="14" t="s">
        <v>72</v>
      </c>
      <c r="F28" s="37" t="n">
        <f aca="false">Assumptions!$C$8</f>
        <v>25</v>
      </c>
      <c r="G28" s="16" t="n">
        <f aca="false">D28*F28</f>
        <v>175</v>
      </c>
      <c r="H28" s="38" t="n">
        <f aca="false">G28*Assumptions!$C$5</f>
        <v>48475</v>
      </c>
      <c r="I28" s="35" t="s">
        <v>265</v>
      </c>
    </row>
    <row r="29" customFormat="false" ht="15" hidden="false" customHeight="false" outlineLevel="0" collapsed="false">
      <c r="A29" s="14" t="n">
        <v>2</v>
      </c>
      <c r="B29" s="14" t="s">
        <v>11</v>
      </c>
      <c r="C29" s="35" t="s">
        <v>298</v>
      </c>
      <c r="D29" s="36" t="n">
        <f aca="false">Regions!J7</f>
        <v>7</v>
      </c>
      <c r="E29" s="14" t="s">
        <v>267</v>
      </c>
      <c r="F29" s="37" t="n">
        <f aca="false">Assumptions!$C$22</f>
        <v>8</v>
      </c>
      <c r="G29" s="16" t="n">
        <f aca="false">D29*F29</f>
        <v>56</v>
      </c>
      <c r="H29" s="38" t="n">
        <f aca="false">G29*Assumptions!$C$5</f>
        <v>15512</v>
      </c>
      <c r="I29" s="35" t="s">
        <v>268</v>
      </c>
    </row>
    <row r="30" customFormat="false" ht="15" hidden="false" customHeight="false" outlineLevel="0" collapsed="false">
      <c r="A30" s="14" t="n">
        <v>2</v>
      </c>
      <c r="B30" s="14" t="s">
        <v>11</v>
      </c>
      <c r="C30" s="35" t="s">
        <v>299</v>
      </c>
      <c r="D30" s="36" t="n">
        <f aca="false">Regions!D7</f>
        <v>3</v>
      </c>
      <c r="E30" s="14" t="s">
        <v>287</v>
      </c>
      <c r="F30" s="37" t="n">
        <f aca="false">Regions!E7/Assumptions!$C$5</f>
        <v>24.7653429602888</v>
      </c>
      <c r="G30" s="16" t="n">
        <f aca="false">D30*F30</f>
        <v>74.2960288808664</v>
      </c>
      <c r="H30" s="38" t="n">
        <f aca="false">G30*Assumptions!$C$5</f>
        <v>20580</v>
      </c>
      <c r="I30" s="35" t="s">
        <v>288</v>
      </c>
    </row>
    <row r="31" customFormat="false" ht="15" hidden="false" customHeight="false" outlineLevel="0" collapsed="false">
      <c r="A31" s="14" t="n">
        <v>2</v>
      </c>
      <c r="B31" s="14" t="s">
        <v>11</v>
      </c>
      <c r="C31" s="35" t="s">
        <v>300</v>
      </c>
      <c r="D31" s="36" t="n">
        <f aca="false">ROUNDUP(Regions!D7/Assumptions!$C$20,0)*Regions!N7</f>
        <v>16</v>
      </c>
      <c r="E31" s="14" t="s">
        <v>270</v>
      </c>
      <c r="F31" s="37" t="n">
        <f aca="false">Assumptions!$C$19</f>
        <v>35</v>
      </c>
      <c r="G31" s="16" t="n">
        <f aca="false">D31*F31</f>
        <v>560</v>
      </c>
      <c r="H31" s="38" t="n">
        <f aca="false">G31*Assumptions!$C$5</f>
        <v>155120</v>
      </c>
      <c r="I31" s="35" t="s">
        <v>271</v>
      </c>
    </row>
    <row r="32" customFormat="false" ht="15" hidden="false" customHeight="false" outlineLevel="0" collapsed="false">
      <c r="A32" s="14" t="n">
        <v>2</v>
      </c>
      <c r="B32" s="14" t="s">
        <v>11</v>
      </c>
      <c r="C32" s="35" t="s">
        <v>301</v>
      </c>
      <c r="D32" s="36" t="n">
        <f aca="false">Regions!D7*Regions!N7</f>
        <v>24</v>
      </c>
      <c r="E32" s="14" t="s">
        <v>273</v>
      </c>
      <c r="F32" s="37" t="n">
        <f aca="false">Assumptions!$C$21</f>
        <v>10</v>
      </c>
      <c r="G32" s="16" t="n">
        <f aca="false">D32*F32</f>
        <v>240</v>
      </c>
      <c r="H32" s="38" t="n">
        <f aca="false">G32*Assumptions!$C$5</f>
        <v>66480</v>
      </c>
      <c r="I32" s="35" t="s">
        <v>274</v>
      </c>
    </row>
    <row r="33" customFormat="false" ht="15" hidden="false" customHeight="false" outlineLevel="0" collapsed="false">
      <c r="A33" s="14" t="n">
        <v>2</v>
      </c>
      <c r="B33" s="14" t="s">
        <v>12</v>
      </c>
      <c r="C33" s="35" t="s">
        <v>302</v>
      </c>
      <c r="D33" s="36" t="n">
        <f aca="false">Regions!C7*Assumptions!$C$13*Assumptions!$C$15/60</f>
        <v>16.6666666666667</v>
      </c>
      <c r="E33" s="14" t="s">
        <v>140</v>
      </c>
      <c r="F33" s="37" t="n">
        <f aca="false">Assumptions!$C$17</f>
        <v>12</v>
      </c>
      <c r="G33" s="16" t="n">
        <f aca="false">D33*F33</f>
        <v>200</v>
      </c>
      <c r="H33" s="38" t="n">
        <f aca="false">G33*Assumptions!$C$5</f>
        <v>55400</v>
      </c>
      <c r="I33" s="35" t="s">
        <v>276</v>
      </c>
    </row>
    <row r="34" customFormat="false" ht="15" hidden="false" customHeight="false" outlineLevel="0" collapsed="false">
      <c r="A34" s="14" t="n">
        <v>2</v>
      </c>
      <c r="B34" s="14" t="s">
        <v>12</v>
      </c>
      <c r="C34" s="35" t="s">
        <v>303</v>
      </c>
      <c r="D34" s="36" t="n">
        <f aca="false">Regions!C7*Assumptions!$C$14</f>
        <v>24</v>
      </c>
      <c r="E34" s="14" t="s">
        <v>76</v>
      </c>
      <c r="F34" s="37" t="n">
        <f aca="false">Assumptions!$C$16/Assumptions!$C$5</f>
        <v>1.80505415162455</v>
      </c>
      <c r="G34" s="16" t="n">
        <f aca="false">D34*F34</f>
        <v>43.3212996389892</v>
      </c>
      <c r="H34" s="38" t="n">
        <f aca="false">G34*Assumptions!$C$5</f>
        <v>12000</v>
      </c>
      <c r="I34" s="35" t="s">
        <v>278</v>
      </c>
    </row>
    <row r="35" customFormat="false" ht="15" hidden="false" customHeight="false" outlineLevel="0" collapsed="false">
      <c r="A35" s="14" t="n">
        <v>2</v>
      </c>
      <c r="B35" s="14" t="s">
        <v>12</v>
      </c>
      <c r="C35" s="35" t="s">
        <v>304</v>
      </c>
      <c r="D35" s="36" t="n">
        <f aca="false">Regions!C7*Assumptions!$C$13</f>
        <v>40</v>
      </c>
      <c r="E35" s="14" t="s">
        <v>76</v>
      </c>
      <c r="F35" s="37" t="n">
        <f aca="false">Assumptions!$C$28</f>
        <v>0.15</v>
      </c>
      <c r="G35" s="16" t="n">
        <f aca="false">D35*F35</f>
        <v>6</v>
      </c>
      <c r="H35" s="38" t="n">
        <f aca="false">G35*Assumptions!$C$5</f>
        <v>1662</v>
      </c>
      <c r="I35" s="35"/>
    </row>
    <row r="36" customFormat="false" ht="15" hidden="false" customHeight="false" outlineLevel="0" collapsed="false">
      <c r="A36" s="14" t="n">
        <v>2</v>
      </c>
      <c r="B36" s="14" t="s">
        <v>13</v>
      </c>
      <c r="C36" s="35" t="s">
        <v>305</v>
      </c>
      <c r="D36" s="36" t="n">
        <f aca="false">Regions!C7*Assumptions!$C$18</f>
        <v>4</v>
      </c>
      <c r="E36" s="14" t="s">
        <v>72</v>
      </c>
      <c r="F36" s="37" t="n">
        <f aca="false">Assumptions!$C$7</f>
        <v>15</v>
      </c>
      <c r="G36" s="16" t="n">
        <f aca="false">D36*F36</f>
        <v>60</v>
      </c>
      <c r="H36" s="38" t="n">
        <f aca="false">G36*Assumptions!$C$5</f>
        <v>16620</v>
      </c>
      <c r="I36" s="35" t="s">
        <v>281</v>
      </c>
    </row>
    <row r="37" customFormat="false" ht="25.35" hidden="false" customHeight="false" outlineLevel="0" collapsed="false">
      <c r="A37" s="14" t="n">
        <v>2</v>
      </c>
      <c r="B37" s="14" t="s">
        <v>11</v>
      </c>
      <c r="C37" s="35" t="s">
        <v>306</v>
      </c>
      <c r="D37" s="36" t="n">
        <f aca="false">Regions!K8</f>
        <v>14</v>
      </c>
      <c r="E37" s="14" t="s">
        <v>260</v>
      </c>
      <c r="F37" s="37" t="n">
        <f aca="false">Assumptions!$C$7</f>
        <v>15</v>
      </c>
      <c r="G37" s="16" t="n">
        <f aca="false">D37*F37</f>
        <v>210</v>
      </c>
      <c r="H37" s="38" t="n">
        <f aca="false">G37*Assumptions!$C$5</f>
        <v>58170</v>
      </c>
      <c r="I37" s="35" t="s">
        <v>261</v>
      </c>
    </row>
    <row r="38" customFormat="false" ht="15" hidden="false" customHeight="false" outlineLevel="0" collapsed="false">
      <c r="A38" s="14" t="n">
        <v>2</v>
      </c>
      <c r="B38" s="14" t="s">
        <v>11</v>
      </c>
      <c r="C38" s="35" t="s">
        <v>307</v>
      </c>
      <c r="D38" s="36" t="n">
        <f aca="false">Regions!L8</f>
        <v>4</v>
      </c>
      <c r="E38" s="14" t="s">
        <v>72</v>
      </c>
      <c r="F38" s="37" t="n">
        <f aca="false">Assumptions!$C$9</f>
        <v>15</v>
      </c>
      <c r="G38" s="16" t="n">
        <f aca="false">D38*F38</f>
        <v>60</v>
      </c>
      <c r="H38" s="38" t="n">
        <f aca="false">G38*Assumptions!$C$5</f>
        <v>16620</v>
      </c>
      <c r="I38" s="35" t="s">
        <v>263</v>
      </c>
    </row>
    <row r="39" customFormat="false" ht="15" hidden="false" customHeight="false" outlineLevel="0" collapsed="false">
      <c r="A39" s="14" t="n">
        <v>2</v>
      </c>
      <c r="B39" s="14" t="s">
        <v>11</v>
      </c>
      <c r="C39" s="35" t="s">
        <v>308</v>
      </c>
      <c r="D39" s="36" t="n">
        <f aca="false">Regions!M8</f>
        <v>7</v>
      </c>
      <c r="E39" s="14" t="s">
        <v>72</v>
      </c>
      <c r="F39" s="37" t="n">
        <f aca="false">Assumptions!$C$8</f>
        <v>25</v>
      </c>
      <c r="G39" s="16" t="n">
        <f aca="false">D39*F39</f>
        <v>175</v>
      </c>
      <c r="H39" s="38" t="n">
        <f aca="false">G39*Assumptions!$C$5</f>
        <v>48475</v>
      </c>
      <c r="I39" s="35" t="s">
        <v>265</v>
      </c>
    </row>
    <row r="40" customFormat="false" ht="15" hidden="false" customHeight="false" outlineLevel="0" collapsed="false">
      <c r="A40" s="14" t="n">
        <v>2</v>
      </c>
      <c r="B40" s="14" t="s">
        <v>11</v>
      </c>
      <c r="C40" s="35" t="s">
        <v>309</v>
      </c>
      <c r="D40" s="36" t="n">
        <f aca="false">Regions!J8</f>
        <v>7</v>
      </c>
      <c r="E40" s="14" t="s">
        <v>267</v>
      </c>
      <c r="F40" s="37" t="n">
        <f aca="false">Assumptions!$C$22</f>
        <v>8</v>
      </c>
      <c r="G40" s="16" t="n">
        <f aca="false">D40*F40</f>
        <v>56</v>
      </c>
      <c r="H40" s="38" t="n">
        <f aca="false">G40*Assumptions!$C$5</f>
        <v>15512</v>
      </c>
      <c r="I40" s="35" t="s">
        <v>268</v>
      </c>
    </row>
    <row r="41" customFormat="false" ht="15" hidden="false" customHeight="false" outlineLevel="0" collapsed="false">
      <c r="A41" s="14" t="n">
        <v>2</v>
      </c>
      <c r="B41" s="14" t="s">
        <v>11</v>
      </c>
      <c r="C41" s="35" t="s">
        <v>310</v>
      </c>
      <c r="D41" s="36" t="n">
        <f aca="false">Regions!D8</f>
        <v>3</v>
      </c>
      <c r="E41" s="14" t="s">
        <v>287</v>
      </c>
      <c r="F41" s="37" t="n">
        <f aca="false">Regions!E8/Assumptions!$C$5</f>
        <v>22.2382671480144</v>
      </c>
      <c r="G41" s="16" t="n">
        <f aca="false">D41*F41</f>
        <v>66.7148014440433</v>
      </c>
      <c r="H41" s="38" t="n">
        <f aca="false">G41*Assumptions!$C$5</f>
        <v>18480</v>
      </c>
      <c r="I41" s="35" t="s">
        <v>288</v>
      </c>
    </row>
    <row r="42" customFormat="false" ht="15" hidden="false" customHeight="false" outlineLevel="0" collapsed="false">
      <c r="A42" s="14" t="n">
        <v>2</v>
      </c>
      <c r="B42" s="14" t="s">
        <v>11</v>
      </c>
      <c r="C42" s="35" t="s">
        <v>311</v>
      </c>
      <c r="D42" s="36" t="n">
        <f aca="false">ROUNDUP(Regions!D8/Assumptions!$C$20,0)*Regions!N8</f>
        <v>16</v>
      </c>
      <c r="E42" s="14" t="s">
        <v>270</v>
      </c>
      <c r="F42" s="37" t="n">
        <f aca="false">Assumptions!$C$19</f>
        <v>35</v>
      </c>
      <c r="G42" s="16" t="n">
        <f aca="false">D42*F42</f>
        <v>560</v>
      </c>
      <c r="H42" s="38" t="n">
        <f aca="false">G42*Assumptions!$C$5</f>
        <v>155120</v>
      </c>
      <c r="I42" s="35" t="s">
        <v>271</v>
      </c>
    </row>
    <row r="43" customFormat="false" ht="15" hidden="false" customHeight="false" outlineLevel="0" collapsed="false">
      <c r="A43" s="14" t="n">
        <v>2</v>
      </c>
      <c r="B43" s="14" t="s">
        <v>11</v>
      </c>
      <c r="C43" s="35" t="s">
        <v>312</v>
      </c>
      <c r="D43" s="36" t="n">
        <f aca="false">Regions!D8*Regions!N8</f>
        <v>24</v>
      </c>
      <c r="E43" s="14" t="s">
        <v>273</v>
      </c>
      <c r="F43" s="37" t="n">
        <f aca="false">Assumptions!$C$21</f>
        <v>10</v>
      </c>
      <c r="G43" s="16" t="n">
        <f aca="false">D43*F43</f>
        <v>240</v>
      </c>
      <c r="H43" s="38" t="n">
        <f aca="false">G43*Assumptions!$C$5</f>
        <v>66480</v>
      </c>
      <c r="I43" s="35" t="s">
        <v>274</v>
      </c>
    </row>
    <row r="44" customFormat="false" ht="25.35" hidden="false" customHeight="false" outlineLevel="0" collapsed="false">
      <c r="A44" s="14" t="n">
        <v>2</v>
      </c>
      <c r="B44" s="14" t="s">
        <v>12</v>
      </c>
      <c r="C44" s="35" t="s">
        <v>313</v>
      </c>
      <c r="D44" s="36" t="n">
        <f aca="false">Regions!C8*Assumptions!$C$13*Assumptions!$C$15/60</f>
        <v>16.6666666666667</v>
      </c>
      <c r="E44" s="14" t="s">
        <v>140</v>
      </c>
      <c r="F44" s="37" t="n">
        <f aca="false">Assumptions!$C$17</f>
        <v>12</v>
      </c>
      <c r="G44" s="16" t="n">
        <f aca="false">D44*F44</f>
        <v>200</v>
      </c>
      <c r="H44" s="38" t="n">
        <f aca="false">G44*Assumptions!$C$5</f>
        <v>55400</v>
      </c>
      <c r="I44" s="35" t="s">
        <v>276</v>
      </c>
    </row>
    <row r="45" customFormat="false" ht="25.35" hidden="false" customHeight="false" outlineLevel="0" collapsed="false">
      <c r="A45" s="14" t="n">
        <v>2</v>
      </c>
      <c r="B45" s="14" t="s">
        <v>12</v>
      </c>
      <c r="C45" s="35" t="s">
        <v>314</v>
      </c>
      <c r="D45" s="36" t="n">
        <f aca="false">Regions!C8*Assumptions!$C$14</f>
        <v>24</v>
      </c>
      <c r="E45" s="14" t="s">
        <v>76</v>
      </c>
      <c r="F45" s="37" t="n">
        <f aca="false">Assumptions!$C$16/Assumptions!$C$5</f>
        <v>1.80505415162455</v>
      </c>
      <c r="G45" s="16" t="n">
        <f aca="false">D45*F45</f>
        <v>43.3212996389892</v>
      </c>
      <c r="H45" s="38" t="n">
        <f aca="false">G45*Assumptions!$C$5</f>
        <v>12000</v>
      </c>
      <c r="I45" s="35" t="s">
        <v>278</v>
      </c>
    </row>
    <row r="46" customFormat="false" ht="25.35" hidden="false" customHeight="false" outlineLevel="0" collapsed="false">
      <c r="A46" s="14" t="n">
        <v>2</v>
      </c>
      <c r="B46" s="14" t="s">
        <v>12</v>
      </c>
      <c r="C46" s="35" t="s">
        <v>315</v>
      </c>
      <c r="D46" s="36" t="n">
        <f aca="false">Regions!C8*Assumptions!$C$13</f>
        <v>40</v>
      </c>
      <c r="E46" s="14" t="s">
        <v>76</v>
      </c>
      <c r="F46" s="37" t="n">
        <f aca="false">Assumptions!$C$28</f>
        <v>0.15</v>
      </c>
      <c r="G46" s="16" t="n">
        <f aca="false">D46*F46</f>
        <v>6</v>
      </c>
      <c r="H46" s="38" t="n">
        <f aca="false">G46*Assumptions!$C$5</f>
        <v>1662</v>
      </c>
      <c r="I46" s="35"/>
    </row>
    <row r="47" customFormat="false" ht="15" hidden="false" customHeight="false" outlineLevel="0" collapsed="false">
      <c r="A47" s="14" t="n">
        <v>2</v>
      </c>
      <c r="B47" s="14" t="s">
        <v>13</v>
      </c>
      <c r="C47" s="35" t="s">
        <v>316</v>
      </c>
      <c r="D47" s="36" t="n">
        <f aca="false">Regions!C8*Assumptions!$C$18</f>
        <v>4</v>
      </c>
      <c r="E47" s="14" t="s">
        <v>72</v>
      </c>
      <c r="F47" s="37" t="n">
        <f aca="false">Assumptions!$C$7</f>
        <v>15</v>
      </c>
      <c r="G47" s="16" t="n">
        <f aca="false">D47*F47</f>
        <v>60</v>
      </c>
      <c r="H47" s="38" t="n">
        <f aca="false">G47*Assumptions!$C$5</f>
        <v>16620</v>
      </c>
      <c r="I47" s="35" t="s">
        <v>281</v>
      </c>
    </row>
    <row r="48" customFormat="false" ht="25.35" hidden="false" customHeight="false" outlineLevel="0" collapsed="false">
      <c r="A48" s="14" t="n">
        <v>2</v>
      </c>
      <c r="B48" s="14" t="s">
        <v>11</v>
      </c>
      <c r="C48" s="35" t="s">
        <v>317</v>
      </c>
      <c r="D48" s="36" t="n">
        <f aca="false">Regions!K9</f>
        <v>8</v>
      </c>
      <c r="E48" s="14" t="s">
        <v>260</v>
      </c>
      <c r="F48" s="37" t="n">
        <f aca="false">Assumptions!$C$7</f>
        <v>15</v>
      </c>
      <c r="G48" s="16" t="n">
        <f aca="false">D48*F48</f>
        <v>120</v>
      </c>
      <c r="H48" s="38" t="n">
        <f aca="false">G48*Assumptions!$C$5</f>
        <v>33240</v>
      </c>
      <c r="I48" s="35" t="s">
        <v>261</v>
      </c>
    </row>
    <row r="49" customFormat="false" ht="15" hidden="false" customHeight="false" outlineLevel="0" collapsed="false">
      <c r="A49" s="14" t="n">
        <v>2</v>
      </c>
      <c r="B49" s="14" t="s">
        <v>11</v>
      </c>
      <c r="C49" s="35" t="s">
        <v>318</v>
      </c>
      <c r="D49" s="36" t="n">
        <f aca="false">Regions!L9</f>
        <v>2</v>
      </c>
      <c r="E49" s="14" t="s">
        <v>72</v>
      </c>
      <c r="F49" s="37" t="n">
        <f aca="false">Assumptions!$C$9</f>
        <v>15</v>
      </c>
      <c r="G49" s="16" t="n">
        <f aca="false">D49*F49</f>
        <v>30</v>
      </c>
      <c r="H49" s="38" t="n">
        <f aca="false">G49*Assumptions!$C$5</f>
        <v>8310</v>
      </c>
      <c r="I49" s="35" t="s">
        <v>263</v>
      </c>
    </row>
    <row r="50" customFormat="false" ht="15" hidden="false" customHeight="false" outlineLevel="0" collapsed="false">
      <c r="A50" s="14" t="n">
        <v>2</v>
      </c>
      <c r="B50" s="14" t="s">
        <v>11</v>
      </c>
      <c r="C50" s="35" t="s">
        <v>319</v>
      </c>
      <c r="D50" s="36" t="n">
        <f aca="false">Regions!M9</f>
        <v>4</v>
      </c>
      <c r="E50" s="14" t="s">
        <v>72</v>
      </c>
      <c r="F50" s="37" t="n">
        <f aca="false">Assumptions!$C$8</f>
        <v>25</v>
      </c>
      <c r="G50" s="16" t="n">
        <f aca="false">D50*F50</f>
        <v>100</v>
      </c>
      <c r="H50" s="38" t="n">
        <f aca="false">G50*Assumptions!$C$5</f>
        <v>27700</v>
      </c>
      <c r="I50" s="35" t="s">
        <v>265</v>
      </c>
    </row>
    <row r="51" customFormat="false" ht="15" hidden="false" customHeight="false" outlineLevel="0" collapsed="false">
      <c r="A51" s="14" t="n">
        <v>2</v>
      </c>
      <c r="B51" s="14" t="s">
        <v>11</v>
      </c>
      <c r="C51" s="35" t="s">
        <v>320</v>
      </c>
      <c r="D51" s="36" t="n">
        <f aca="false">Regions!J9</f>
        <v>4</v>
      </c>
      <c r="E51" s="14" t="s">
        <v>267</v>
      </c>
      <c r="F51" s="37" t="n">
        <f aca="false">Assumptions!$C$22</f>
        <v>8</v>
      </c>
      <c r="G51" s="16" t="n">
        <f aca="false">D51*F51</f>
        <v>32</v>
      </c>
      <c r="H51" s="38" t="n">
        <f aca="false">G51*Assumptions!$C$5</f>
        <v>8864</v>
      </c>
      <c r="I51" s="35" t="s">
        <v>268</v>
      </c>
    </row>
    <row r="52" customFormat="false" ht="15" hidden="false" customHeight="false" outlineLevel="0" collapsed="false">
      <c r="A52" s="14" t="n">
        <v>2</v>
      </c>
      <c r="B52" s="14" t="s">
        <v>11</v>
      </c>
      <c r="C52" s="35" t="s">
        <v>321</v>
      </c>
      <c r="D52" s="36" t="n">
        <f aca="false">Regions!D9</f>
        <v>3</v>
      </c>
      <c r="E52" s="14" t="s">
        <v>287</v>
      </c>
      <c r="F52" s="37" t="n">
        <f aca="false">Regions!E9/Assumptions!$C$5</f>
        <v>11.4079422382671</v>
      </c>
      <c r="G52" s="16" t="n">
        <f aca="false">D52*F52</f>
        <v>34.2238267148015</v>
      </c>
      <c r="H52" s="38" t="n">
        <f aca="false">G52*Assumptions!$C$5</f>
        <v>9480</v>
      </c>
      <c r="I52" s="35" t="s">
        <v>288</v>
      </c>
    </row>
    <row r="53" customFormat="false" ht="15" hidden="false" customHeight="false" outlineLevel="0" collapsed="false">
      <c r="A53" s="14" t="n">
        <v>2</v>
      </c>
      <c r="B53" s="14" t="s">
        <v>11</v>
      </c>
      <c r="C53" s="35" t="s">
        <v>322</v>
      </c>
      <c r="D53" s="36" t="n">
        <f aca="false">ROUNDUP(Regions!D9/Assumptions!$C$20,0)*Regions!N9</f>
        <v>10</v>
      </c>
      <c r="E53" s="14" t="s">
        <v>270</v>
      </c>
      <c r="F53" s="37" t="n">
        <f aca="false">Assumptions!$C$19</f>
        <v>35</v>
      </c>
      <c r="G53" s="16" t="n">
        <f aca="false">D53*F53</f>
        <v>350</v>
      </c>
      <c r="H53" s="38" t="n">
        <f aca="false">G53*Assumptions!$C$5</f>
        <v>96950</v>
      </c>
      <c r="I53" s="35" t="s">
        <v>271</v>
      </c>
    </row>
    <row r="54" customFormat="false" ht="15" hidden="false" customHeight="false" outlineLevel="0" collapsed="false">
      <c r="A54" s="14" t="n">
        <v>2</v>
      </c>
      <c r="B54" s="14" t="s">
        <v>11</v>
      </c>
      <c r="C54" s="35" t="s">
        <v>323</v>
      </c>
      <c r="D54" s="36" t="n">
        <f aca="false">Regions!D9*Regions!N9</f>
        <v>15</v>
      </c>
      <c r="E54" s="14" t="s">
        <v>273</v>
      </c>
      <c r="F54" s="37" t="n">
        <f aca="false">Assumptions!$C$21</f>
        <v>10</v>
      </c>
      <c r="G54" s="16" t="n">
        <f aca="false">D54*F54</f>
        <v>150</v>
      </c>
      <c r="H54" s="38" t="n">
        <f aca="false">G54*Assumptions!$C$5</f>
        <v>41550</v>
      </c>
      <c r="I54" s="35" t="s">
        <v>274</v>
      </c>
    </row>
    <row r="55" customFormat="false" ht="15" hidden="false" customHeight="false" outlineLevel="0" collapsed="false">
      <c r="A55" s="14" t="n">
        <v>2</v>
      </c>
      <c r="B55" s="14" t="s">
        <v>12</v>
      </c>
      <c r="C55" s="35" t="s">
        <v>324</v>
      </c>
      <c r="D55" s="36" t="n">
        <f aca="false">Regions!C9*Assumptions!$C$13*Assumptions!$C$15/60</f>
        <v>8.33333333333333</v>
      </c>
      <c r="E55" s="14" t="s">
        <v>140</v>
      </c>
      <c r="F55" s="37" t="n">
        <f aca="false">Assumptions!$C$17</f>
        <v>12</v>
      </c>
      <c r="G55" s="16" t="n">
        <f aca="false">D55*F55</f>
        <v>100</v>
      </c>
      <c r="H55" s="38" t="n">
        <f aca="false">G55*Assumptions!$C$5</f>
        <v>27700</v>
      </c>
      <c r="I55" s="35" t="s">
        <v>276</v>
      </c>
    </row>
    <row r="56" customFormat="false" ht="15" hidden="false" customHeight="false" outlineLevel="0" collapsed="false">
      <c r="A56" s="14" t="n">
        <v>2</v>
      </c>
      <c r="B56" s="14" t="s">
        <v>12</v>
      </c>
      <c r="C56" s="35" t="s">
        <v>325</v>
      </c>
      <c r="D56" s="36" t="n">
        <f aca="false">Regions!C9*Assumptions!$C$14</f>
        <v>12</v>
      </c>
      <c r="E56" s="14" t="s">
        <v>76</v>
      </c>
      <c r="F56" s="37" t="n">
        <f aca="false">Assumptions!$C$16/Assumptions!$C$5</f>
        <v>1.80505415162455</v>
      </c>
      <c r="G56" s="16" t="n">
        <f aca="false">D56*F56</f>
        <v>21.6606498194946</v>
      </c>
      <c r="H56" s="38" t="n">
        <f aca="false">G56*Assumptions!$C$5</f>
        <v>6000</v>
      </c>
      <c r="I56" s="35" t="s">
        <v>278</v>
      </c>
    </row>
    <row r="57" customFormat="false" ht="15" hidden="false" customHeight="false" outlineLevel="0" collapsed="false">
      <c r="A57" s="14" t="n">
        <v>2</v>
      </c>
      <c r="B57" s="14" t="s">
        <v>12</v>
      </c>
      <c r="C57" s="35" t="s">
        <v>326</v>
      </c>
      <c r="D57" s="36" t="n">
        <f aca="false">Regions!C9*Assumptions!$C$13</f>
        <v>20</v>
      </c>
      <c r="E57" s="14" t="s">
        <v>76</v>
      </c>
      <c r="F57" s="37" t="n">
        <f aca="false">Assumptions!$C$28</f>
        <v>0.15</v>
      </c>
      <c r="G57" s="16" t="n">
        <f aca="false">D57*F57</f>
        <v>3</v>
      </c>
      <c r="H57" s="38" t="n">
        <f aca="false">G57*Assumptions!$C$5</f>
        <v>831</v>
      </c>
      <c r="I57" s="35"/>
    </row>
    <row r="58" customFormat="false" ht="15" hidden="false" customHeight="false" outlineLevel="0" collapsed="false">
      <c r="A58" s="14" t="n">
        <v>2</v>
      </c>
      <c r="B58" s="14" t="s">
        <v>13</v>
      </c>
      <c r="C58" s="35" t="s">
        <v>327</v>
      </c>
      <c r="D58" s="36" t="n">
        <f aca="false">Regions!C9*Assumptions!$C$18</f>
        <v>2</v>
      </c>
      <c r="E58" s="14" t="s">
        <v>72</v>
      </c>
      <c r="F58" s="37" t="n">
        <f aca="false">Assumptions!$C$7</f>
        <v>15</v>
      </c>
      <c r="G58" s="16" t="n">
        <f aca="false">D58*F58</f>
        <v>30</v>
      </c>
      <c r="H58" s="38" t="n">
        <f aca="false">G58*Assumptions!$C$5</f>
        <v>8310</v>
      </c>
      <c r="I58" s="35" t="s">
        <v>281</v>
      </c>
    </row>
    <row r="59" customFormat="false" ht="25.35" hidden="false" customHeight="false" outlineLevel="0" collapsed="false">
      <c r="A59" s="14" t="n">
        <v>2</v>
      </c>
      <c r="B59" s="14" t="s">
        <v>11</v>
      </c>
      <c r="C59" s="35" t="s">
        <v>328</v>
      </c>
      <c r="D59" s="36" t="n">
        <f aca="false">Regions!K10</f>
        <v>8</v>
      </c>
      <c r="E59" s="14" t="s">
        <v>260</v>
      </c>
      <c r="F59" s="37" t="n">
        <f aca="false">Assumptions!$C$7</f>
        <v>15</v>
      </c>
      <c r="G59" s="16" t="n">
        <f aca="false">D59*F59</f>
        <v>120</v>
      </c>
      <c r="H59" s="38" t="n">
        <f aca="false">G59*Assumptions!$C$5</f>
        <v>33240</v>
      </c>
      <c r="I59" s="35" t="s">
        <v>261</v>
      </c>
    </row>
    <row r="60" customFormat="false" ht="15" hidden="false" customHeight="false" outlineLevel="0" collapsed="false">
      <c r="A60" s="14" t="n">
        <v>2</v>
      </c>
      <c r="B60" s="14" t="s">
        <v>11</v>
      </c>
      <c r="C60" s="35" t="s">
        <v>329</v>
      </c>
      <c r="D60" s="36" t="n">
        <f aca="false">Regions!L10</f>
        <v>2</v>
      </c>
      <c r="E60" s="14" t="s">
        <v>72</v>
      </c>
      <c r="F60" s="37" t="n">
        <f aca="false">Assumptions!$C$9</f>
        <v>15</v>
      </c>
      <c r="G60" s="16" t="n">
        <f aca="false">D60*F60</f>
        <v>30</v>
      </c>
      <c r="H60" s="38" t="n">
        <f aca="false">G60*Assumptions!$C$5</f>
        <v>8310</v>
      </c>
      <c r="I60" s="35" t="s">
        <v>263</v>
      </c>
    </row>
    <row r="61" customFormat="false" ht="15" hidden="false" customHeight="false" outlineLevel="0" collapsed="false">
      <c r="A61" s="14" t="n">
        <v>2</v>
      </c>
      <c r="B61" s="14" t="s">
        <v>11</v>
      </c>
      <c r="C61" s="35" t="s">
        <v>330</v>
      </c>
      <c r="D61" s="36" t="n">
        <f aca="false">Regions!M10</f>
        <v>4</v>
      </c>
      <c r="E61" s="14" t="s">
        <v>72</v>
      </c>
      <c r="F61" s="37" t="n">
        <f aca="false">Assumptions!$C$8</f>
        <v>25</v>
      </c>
      <c r="G61" s="16" t="n">
        <f aca="false">D61*F61</f>
        <v>100</v>
      </c>
      <c r="H61" s="38" t="n">
        <f aca="false">G61*Assumptions!$C$5</f>
        <v>27700</v>
      </c>
      <c r="I61" s="35" t="s">
        <v>265</v>
      </c>
    </row>
    <row r="62" customFormat="false" ht="15" hidden="false" customHeight="false" outlineLevel="0" collapsed="false">
      <c r="A62" s="14" t="n">
        <v>2</v>
      </c>
      <c r="B62" s="14" t="s">
        <v>11</v>
      </c>
      <c r="C62" s="35" t="s">
        <v>331</v>
      </c>
      <c r="D62" s="36" t="n">
        <f aca="false">Regions!J10</f>
        <v>4</v>
      </c>
      <c r="E62" s="14" t="s">
        <v>267</v>
      </c>
      <c r="F62" s="37" t="n">
        <f aca="false">Assumptions!$C$22</f>
        <v>8</v>
      </c>
      <c r="G62" s="16" t="n">
        <f aca="false">D62*F62</f>
        <v>32</v>
      </c>
      <c r="H62" s="38" t="n">
        <f aca="false">G62*Assumptions!$C$5</f>
        <v>8864</v>
      </c>
      <c r="I62" s="35" t="s">
        <v>268</v>
      </c>
    </row>
    <row r="63" customFormat="false" ht="15" hidden="false" customHeight="false" outlineLevel="0" collapsed="false">
      <c r="A63" s="14" t="n">
        <v>2</v>
      </c>
      <c r="B63" s="14" t="s">
        <v>11</v>
      </c>
      <c r="C63" s="35" t="s">
        <v>332</v>
      </c>
      <c r="D63" s="36" t="n">
        <f aca="false">Regions!D10</f>
        <v>3</v>
      </c>
      <c r="E63" s="14" t="s">
        <v>287</v>
      </c>
      <c r="F63" s="37" t="n">
        <f aca="false">Regions!E10/Assumptions!$C$5</f>
        <v>6.42599277978339</v>
      </c>
      <c r="G63" s="16" t="n">
        <f aca="false">D63*F63</f>
        <v>19.2779783393502</v>
      </c>
      <c r="H63" s="38" t="n">
        <f aca="false">G63*Assumptions!$C$5</f>
        <v>5340</v>
      </c>
      <c r="I63" s="35" t="s">
        <v>288</v>
      </c>
    </row>
    <row r="64" customFormat="false" ht="15" hidden="false" customHeight="false" outlineLevel="0" collapsed="false">
      <c r="A64" s="14" t="n">
        <v>2</v>
      </c>
      <c r="B64" s="14" t="s">
        <v>11</v>
      </c>
      <c r="C64" s="35" t="s">
        <v>333</v>
      </c>
      <c r="D64" s="36" t="n">
        <f aca="false">ROUNDUP(Regions!D10/Assumptions!$C$20,0)*Regions!N10</f>
        <v>10</v>
      </c>
      <c r="E64" s="14" t="s">
        <v>270</v>
      </c>
      <c r="F64" s="37" t="n">
        <f aca="false">Assumptions!$C$19</f>
        <v>35</v>
      </c>
      <c r="G64" s="16" t="n">
        <f aca="false">D64*F64</f>
        <v>350</v>
      </c>
      <c r="H64" s="38" t="n">
        <f aca="false">G64*Assumptions!$C$5</f>
        <v>96950</v>
      </c>
      <c r="I64" s="35" t="s">
        <v>271</v>
      </c>
    </row>
    <row r="65" customFormat="false" ht="15" hidden="false" customHeight="false" outlineLevel="0" collapsed="false">
      <c r="A65" s="14" t="n">
        <v>2</v>
      </c>
      <c r="B65" s="14" t="s">
        <v>11</v>
      </c>
      <c r="C65" s="35" t="s">
        <v>334</v>
      </c>
      <c r="D65" s="36" t="n">
        <f aca="false">Regions!D10*Regions!N10</f>
        <v>15</v>
      </c>
      <c r="E65" s="14" t="s">
        <v>273</v>
      </c>
      <c r="F65" s="37" t="n">
        <f aca="false">Assumptions!$C$21</f>
        <v>10</v>
      </c>
      <c r="G65" s="16" t="n">
        <f aca="false">D65*F65</f>
        <v>150</v>
      </c>
      <c r="H65" s="38" t="n">
        <f aca="false">G65*Assumptions!$C$5</f>
        <v>41550</v>
      </c>
      <c r="I65" s="35" t="s">
        <v>274</v>
      </c>
    </row>
    <row r="66" customFormat="false" ht="15" hidden="false" customHeight="false" outlineLevel="0" collapsed="false">
      <c r="A66" s="14" t="n">
        <v>2</v>
      </c>
      <c r="B66" s="14" t="s">
        <v>12</v>
      </c>
      <c r="C66" s="35" t="s">
        <v>335</v>
      </c>
      <c r="D66" s="36" t="n">
        <f aca="false">Regions!C10*Assumptions!$C$13*Assumptions!$C$15/60</f>
        <v>8.33333333333333</v>
      </c>
      <c r="E66" s="14" t="s">
        <v>140</v>
      </c>
      <c r="F66" s="37" t="n">
        <f aca="false">Assumptions!$C$17</f>
        <v>12</v>
      </c>
      <c r="G66" s="16" t="n">
        <f aca="false">D66*F66</f>
        <v>100</v>
      </c>
      <c r="H66" s="38" t="n">
        <f aca="false">G66*Assumptions!$C$5</f>
        <v>27700</v>
      </c>
      <c r="I66" s="35" t="s">
        <v>276</v>
      </c>
    </row>
    <row r="67" customFormat="false" ht="15" hidden="false" customHeight="false" outlineLevel="0" collapsed="false">
      <c r="A67" s="14" t="n">
        <v>2</v>
      </c>
      <c r="B67" s="14" t="s">
        <v>12</v>
      </c>
      <c r="C67" s="35" t="s">
        <v>336</v>
      </c>
      <c r="D67" s="36" t="n">
        <f aca="false">Regions!C10*Assumptions!$C$14</f>
        <v>12</v>
      </c>
      <c r="E67" s="14" t="s">
        <v>76</v>
      </c>
      <c r="F67" s="37" t="n">
        <f aca="false">Assumptions!$C$16/Assumptions!$C$5</f>
        <v>1.80505415162455</v>
      </c>
      <c r="G67" s="16" t="n">
        <f aca="false">D67*F67</f>
        <v>21.6606498194946</v>
      </c>
      <c r="H67" s="38" t="n">
        <f aca="false">G67*Assumptions!$C$5</f>
        <v>6000</v>
      </c>
      <c r="I67" s="35" t="s">
        <v>278</v>
      </c>
    </row>
    <row r="68" customFormat="false" ht="15" hidden="false" customHeight="false" outlineLevel="0" collapsed="false">
      <c r="A68" s="14" t="n">
        <v>2</v>
      </c>
      <c r="B68" s="14" t="s">
        <v>12</v>
      </c>
      <c r="C68" s="35" t="s">
        <v>337</v>
      </c>
      <c r="D68" s="36" t="n">
        <f aca="false">Regions!C10*Assumptions!$C$13</f>
        <v>20</v>
      </c>
      <c r="E68" s="14" t="s">
        <v>76</v>
      </c>
      <c r="F68" s="37" t="n">
        <f aca="false">Assumptions!$C$28</f>
        <v>0.15</v>
      </c>
      <c r="G68" s="16" t="n">
        <f aca="false">D68*F68</f>
        <v>3</v>
      </c>
      <c r="H68" s="38" t="n">
        <f aca="false">G68*Assumptions!$C$5</f>
        <v>831</v>
      </c>
      <c r="I68" s="35"/>
    </row>
    <row r="69" customFormat="false" ht="15" hidden="false" customHeight="false" outlineLevel="0" collapsed="false">
      <c r="A69" s="14" t="n">
        <v>2</v>
      </c>
      <c r="B69" s="14" t="s">
        <v>13</v>
      </c>
      <c r="C69" s="35" t="s">
        <v>338</v>
      </c>
      <c r="D69" s="36" t="n">
        <f aca="false">Regions!C10*Assumptions!$C$18</f>
        <v>2</v>
      </c>
      <c r="E69" s="14" t="s">
        <v>72</v>
      </c>
      <c r="F69" s="37" t="n">
        <f aca="false">Assumptions!$C$7</f>
        <v>15</v>
      </c>
      <c r="G69" s="16" t="n">
        <f aca="false">D69*F69</f>
        <v>30</v>
      </c>
      <c r="H69" s="38" t="n">
        <f aca="false">G69*Assumptions!$C$5</f>
        <v>8310</v>
      </c>
      <c r="I69" s="35" t="s">
        <v>281</v>
      </c>
    </row>
    <row r="70" customFormat="false" ht="25.35" hidden="false" customHeight="false" outlineLevel="0" collapsed="false">
      <c r="A70" s="14" t="n">
        <v>2</v>
      </c>
      <c r="B70" s="14" t="s">
        <v>11</v>
      </c>
      <c r="C70" s="35" t="s">
        <v>339</v>
      </c>
      <c r="D70" s="36" t="n">
        <f aca="false">Regions!K11</f>
        <v>8</v>
      </c>
      <c r="E70" s="14" t="s">
        <v>260</v>
      </c>
      <c r="F70" s="37" t="n">
        <f aca="false">Assumptions!$C$7</f>
        <v>15</v>
      </c>
      <c r="G70" s="16" t="n">
        <f aca="false">D70*F70</f>
        <v>120</v>
      </c>
      <c r="H70" s="38" t="n">
        <f aca="false">G70*Assumptions!$C$5</f>
        <v>33240</v>
      </c>
      <c r="I70" s="35" t="s">
        <v>261</v>
      </c>
    </row>
    <row r="71" customFormat="false" ht="15" hidden="false" customHeight="false" outlineLevel="0" collapsed="false">
      <c r="A71" s="14" t="n">
        <v>2</v>
      </c>
      <c r="B71" s="14" t="s">
        <v>11</v>
      </c>
      <c r="C71" s="35" t="s">
        <v>340</v>
      </c>
      <c r="D71" s="36" t="n">
        <f aca="false">Regions!L11</f>
        <v>2</v>
      </c>
      <c r="E71" s="14" t="s">
        <v>72</v>
      </c>
      <c r="F71" s="37" t="n">
        <f aca="false">Assumptions!$C$9</f>
        <v>15</v>
      </c>
      <c r="G71" s="16" t="n">
        <f aca="false">D71*F71</f>
        <v>30</v>
      </c>
      <c r="H71" s="38" t="n">
        <f aca="false">G71*Assumptions!$C$5</f>
        <v>8310</v>
      </c>
      <c r="I71" s="35" t="s">
        <v>263</v>
      </c>
    </row>
    <row r="72" customFormat="false" ht="15" hidden="false" customHeight="false" outlineLevel="0" collapsed="false">
      <c r="A72" s="14" t="n">
        <v>2</v>
      </c>
      <c r="B72" s="14" t="s">
        <v>11</v>
      </c>
      <c r="C72" s="35" t="s">
        <v>341</v>
      </c>
      <c r="D72" s="36" t="n">
        <f aca="false">Regions!M11</f>
        <v>4</v>
      </c>
      <c r="E72" s="14" t="s">
        <v>72</v>
      </c>
      <c r="F72" s="37" t="n">
        <f aca="false">Assumptions!$C$8</f>
        <v>25</v>
      </c>
      <c r="G72" s="16" t="n">
        <f aca="false">D72*F72</f>
        <v>100</v>
      </c>
      <c r="H72" s="38" t="n">
        <f aca="false">G72*Assumptions!$C$5</f>
        <v>27700</v>
      </c>
      <c r="I72" s="35" t="s">
        <v>265</v>
      </c>
    </row>
    <row r="73" customFormat="false" ht="15" hidden="false" customHeight="false" outlineLevel="0" collapsed="false">
      <c r="A73" s="14" t="n">
        <v>2</v>
      </c>
      <c r="B73" s="14" t="s">
        <v>11</v>
      </c>
      <c r="C73" s="35" t="s">
        <v>342</v>
      </c>
      <c r="D73" s="36" t="n">
        <f aca="false">Regions!J11</f>
        <v>4</v>
      </c>
      <c r="E73" s="14" t="s">
        <v>267</v>
      </c>
      <c r="F73" s="37" t="n">
        <f aca="false">Assumptions!$C$22</f>
        <v>8</v>
      </c>
      <c r="G73" s="16" t="n">
        <f aca="false">D73*F73</f>
        <v>32</v>
      </c>
      <c r="H73" s="38" t="n">
        <f aca="false">G73*Assumptions!$C$5</f>
        <v>8864</v>
      </c>
      <c r="I73" s="35" t="s">
        <v>268</v>
      </c>
    </row>
    <row r="74" customFormat="false" ht="15" hidden="false" customHeight="false" outlineLevel="0" collapsed="false">
      <c r="A74" s="14" t="n">
        <v>2</v>
      </c>
      <c r="B74" s="14" t="s">
        <v>11</v>
      </c>
      <c r="C74" s="35" t="s">
        <v>343</v>
      </c>
      <c r="D74" s="36" t="n">
        <f aca="false">Regions!D11</f>
        <v>2</v>
      </c>
      <c r="E74" s="14" t="s">
        <v>287</v>
      </c>
      <c r="F74" s="37" t="n">
        <f aca="false">Regions!E11/Assumptions!$C$5</f>
        <v>4.33212996389892</v>
      </c>
      <c r="G74" s="16" t="n">
        <f aca="false">D74*F74</f>
        <v>8.66425992779783</v>
      </c>
      <c r="H74" s="38" t="n">
        <f aca="false">G74*Assumptions!$C$5</f>
        <v>2400</v>
      </c>
      <c r="I74" s="35" t="s">
        <v>288</v>
      </c>
    </row>
    <row r="75" customFormat="false" ht="15" hidden="false" customHeight="false" outlineLevel="0" collapsed="false">
      <c r="A75" s="14" t="n">
        <v>2</v>
      </c>
      <c r="B75" s="14" t="s">
        <v>11</v>
      </c>
      <c r="C75" s="35" t="s">
        <v>344</v>
      </c>
      <c r="D75" s="36" t="n">
        <f aca="false">ROUNDUP(Regions!D11/Assumptions!$C$20,0)*Regions!N11</f>
        <v>0</v>
      </c>
      <c r="E75" s="14" t="s">
        <v>270</v>
      </c>
      <c r="F75" s="37" t="n">
        <f aca="false">Assumptions!$C$19</f>
        <v>35</v>
      </c>
      <c r="G75" s="16" t="n">
        <f aca="false">D75*F75</f>
        <v>0</v>
      </c>
      <c r="H75" s="38" t="n">
        <f aca="false">G75*Assumptions!$C$5</f>
        <v>0</v>
      </c>
      <c r="I75" s="35" t="s">
        <v>271</v>
      </c>
    </row>
    <row r="76" customFormat="false" ht="15" hidden="false" customHeight="false" outlineLevel="0" collapsed="false">
      <c r="A76" s="14" t="n">
        <v>2</v>
      </c>
      <c r="B76" s="14" t="s">
        <v>11</v>
      </c>
      <c r="C76" s="35" t="s">
        <v>345</v>
      </c>
      <c r="D76" s="36" t="n">
        <f aca="false">Regions!D11*Regions!N11</f>
        <v>0</v>
      </c>
      <c r="E76" s="14" t="s">
        <v>273</v>
      </c>
      <c r="F76" s="37" t="n">
        <f aca="false">Assumptions!$C$21</f>
        <v>10</v>
      </c>
      <c r="G76" s="16" t="n">
        <f aca="false">D76*F76</f>
        <v>0</v>
      </c>
      <c r="H76" s="38" t="n">
        <f aca="false">G76*Assumptions!$C$5</f>
        <v>0</v>
      </c>
      <c r="I76" s="35" t="s">
        <v>274</v>
      </c>
    </row>
    <row r="77" customFormat="false" ht="15" hidden="false" customHeight="false" outlineLevel="0" collapsed="false">
      <c r="A77" s="14" t="n">
        <v>2</v>
      </c>
      <c r="B77" s="14" t="s">
        <v>12</v>
      </c>
      <c r="C77" s="35" t="s">
        <v>346</v>
      </c>
      <c r="D77" s="36" t="n">
        <f aca="false">Regions!C11*Assumptions!$C$13*Assumptions!$C$15/60</f>
        <v>8.33333333333333</v>
      </c>
      <c r="E77" s="14" t="s">
        <v>140</v>
      </c>
      <c r="F77" s="37" t="n">
        <f aca="false">Assumptions!$C$17</f>
        <v>12</v>
      </c>
      <c r="G77" s="16" t="n">
        <f aca="false">D77*F77</f>
        <v>100</v>
      </c>
      <c r="H77" s="38" t="n">
        <f aca="false">G77*Assumptions!$C$5</f>
        <v>27700</v>
      </c>
      <c r="I77" s="35" t="s">
        <v>276</v>
      </c>
    </row>
    <row r="78" customFormat="false" ht="15" hidden="false" customHeight="false" outlineLevel="0" collapsed="false">
      <c r="A78" s="14" t="n">
        <v>2</v>
      </c>
      <c r="B78" s="14" t="s">
        <v>12</v>
      </c>
      <c r="C78" s="35" t="s">
        <v>347</v>
      </c>
      <c r="D78" s="36" t="n">
        <f aca="false">Regions!C11*Assumptions!$C$14</f>
        <v>12</v>
      </c>
      <c r="E78" s="14" t="s">
        <v>76</v>
      </c>
      <c r="F78" s="37" t="n">
        <f aca="false">Assumptions!$C$16/Assumptions!$C$5</f>
        <v>1.80505415162455</v>
      </c>
      <c r="G78" s="16" t="n">
        <f aca="false">D78*F78</f>
        <v>21.6606498194946</v>
      </c>
      <c r="H78" s="38" t="n">
        <f aca="false">G78*Assumptions!$C$5</f>
        <v>6000</v>
      </c>
      <c r="I78" s="35" t="s">
        <v>278</v>
      </c>
    </row>
    <row r="79" customFormat="false" ht="15" hidden="false" customHeight="false" outlineLevel="0" collapsed="false">
      <c r="A79" s="14" t="n">
        <v>2</v>
      </c>
      <c r="B79" s="14" t="s">
        <v>12</v>
      </c>
      <c r="C79" s="35" t="s">
        <v>348</v>
      </c>
      <c r="D79" s="36" t="n">
        <f aca="false">Regions!C11*Assumptions!$C$13</f>
        <v>20</v>
      </c>
      <c r="E79" s="14" t="s">
        <v>76</v>
      </c>
      <c r="F79" s="37" t="n">
        <f aca="false">Assumptions!$C$28</f>
        <v>0.15</v>
      </c>
      <c r="G79" s="16" t="n">
        <f aca="false">D79*F79</f>
        <v>3</v>
      </c>
      <c r="H79" s="38" t="n">
        <f aca="false">G79*Assumptions!$C$5</f>
        <v>831</v>
      </c>
      <c r="I79" s="35"/>
    </row>
    <row r="80" customFormat="false" ht="15" hidden="false" customHeight="false" outlineLevel="0" collapsed="false">
      <c r="A80" s="14" t="n">
        <v>2</v>
      </c>
      <c r="B80" s="14" t="s">
        <v>13</v>
      </c>
      <c r="C80" s="35" t="s">
        <v>349</v>
      </c>
      <c r="D80" s="36" t="n">
        <f aca="false">Regions!C11*Assumptions!$C$18</f>
        <v>2</v>
      </c>
      <c r="E80" s="14" t="s">
        <v>72</v>
      </c>
      <c r="F80" s="37" t="n">
        <f aca="false">Assumptions!$C$7</f>
        <v>15</v>
      </c>
      <c r="G80" s="16" t="n">
        <f aca="false">D80*F80</f>
        <v>30</v>
      </c>
      <c r="H80" s="38" t="n">
        <f aca="false">G80*Assumptions!$C$5</f>
        <v>8310</v>
      </c>
      <c r="I80" s="35" t="s">
        <v>281</v>
      </c>
    </row>
    <row r="81" customFormat="false" ht="25.35" hidden="false" customHeight="false" outlineLevel="0" collapsed="false">
      <c r="A81" s="14" t="n">
        <v>2</v>
      </c>
      <c r="B81" s="14" t="s">
        <v>11</v>
      </c>
      <c r="C81" s="35" t="s">
        <v>350</v>
      </c>
      <c r="D81" s="36" t="n">
        <f aca="false">Regions!K12</f>
        <v>8</v>
      </c>
      <c r="E81" s="14" t="s">
        <v>260</v>
      </c>
      <c r="F81" s="37" t="n">
        <f aca="false">Assumptions!$C$7</f>
        <v>15</v>
      </c>
      <c r="G81" s="16" t="n">
        <f aca="false">D81*F81</f>
        <v>120</v>
      </c>
      <c r="H81" s="38" t="n">
        <f aca="false">G81*Assumptions!$C$5</f>
        <v>33240</v>
      </c>
      <c r="I81" s="35" t="s">
        <v>261</v>
      </c>
    </row>
    <row r="82" customFormat="false" ht="25.35" hidden="false" customHeight="false" outlineLevel="0" collapsed="false">
      <c r="A82" s="14" t="n">
        <v>2</v>
      </c>
      <c r="B82" s="14" t="s">
        <v>11</v>
      </c>
      <c r="C82" s="35" t="s">
        <v>351</v>
      </c>
      <c r="D82" s="36" t="n">
        <f aca="false">Regions!L12</f>
        <v>2</v>
      </c>
      <c r="E82" s="14" t="s">
        <v>72</v>
      </c>
      <c r="F82" s="37" t="n">
        <f aca="false">Assumptions!$C$9</f>
        <v>15</v>
      </c>
      <c r="G82" s="16" t="n">
        <f aca="false">D82*F82</f>
        <v>30</v>
      </c>
      <c r="H82" s="38" t="n">
        <f aca="false">G82*Assumptions!$C$5</f>
        <v>8310</v>
      </c>
      <c r="I82" s="35" t="s">
        <v>263</v>
      </c>
    </row>
    <row r="83" customFormat="false" ht="15" hidden="false" customHeight="false" outlineLevel="0" collapsed="false">
      <c r="A83" s="14" t="n">
        <v>2</v>
      </c>
      <c r="B83" s="14" t="s">
        <v>11</v>
      </c>
      <c r="C83" s="35" t="s">
        <v>352</v>
      </c>
      <c r="D83" s="36" t="n">
        <f aca="false">Regions!M12</f>
        <v>4</v>
      </c>
      <c r="E83" s="14" t="s">
        <v>72</v>
      </c>
      <c r="F83" s="37" t="n">
        <f aca="false">Assumptions!$C$8</f>
        <v>25</v>
      </c>
      <c r="G83" s="16" t="n">
        <f aca="false">D83*F83</f>
        <v>100</v>
      </c>
      <c r="H83" s="38" t="n">
        <f aca="false">G83*Assumptions!$C$5</f>
        <v>27700</v>
      </c>
      <c r="I83" s="35" t="s">
        <v>265</v>
      </c>
    </row>
    <row r="84" customFormat="false" ht="15" hidden="false" customHeight="false" outlineLevel="0" collapsed="false">
      <c r="A84" s="14" t="n">
        <v>2</v>
      </c>
      <c r="B84" s="14" t="s">
        <v>11</v>
      </c>
      <c r="C84" s="35" t="s">
        <v>353</v>
      </c>
      <c r="D84" s="36" t="n">
        <f aca="false">Regions!J12</f>
        <v>4</v>
      </c>
      <c r="E84" s="14" t="s">
        <v>267</v>
      </c>
      <c r="F84" s="37" t="n">
        <f aca="false">Assumptions!$C$22</f>
        <v>8</v>
      </c>
      <c r="G84" s="16" t="n">
        <f aca="false">D84*F84</f>
        <v>32</v>
      </c>
      <c r="H84" s="38" t="n">
        <f aca="false">G84*Assumptions!$C$5</f>
        <v>8864</v>
      </c>
      <c r="I84" s="35" t="s">
        <v>268</v>
      </c>
    </row>
    <row r="85" customFormat="false" ht="15" hidden="false" customHeight="false" outlineLevel="0" collapsed="false">
      <c r="A85" s="14" t="n">
        <v>2</v>
      </c>
      <c r="B85" s="14" t="s">
        <v>11</v>
      </c>
      <c r="C85" s="35" t="s">
        <v>354</v>
      </c>
      <c r="D85" s="36" t="n">
        <f aca="false">Regions!D12</f>
        <v>3</v>
      </c>
      <c r="E85" s="14" t="s">
        <v>287</v>
      </c>
      <c r="F85" s="37" t="n">
        <f aca="false">Regions!E12/Assumptions!$C$5</f>
        <v>28.8808664259928</v>
      </c>
      <c r="G85" s="16" t="n">
        <f aca="false">D85*F85</f>
        <v>86.6425992779783</v>
      </c>
      <c r="H85" s="38" t="n">
        <f aca="false">G85*Assumptions!$C$5</f>
        <v>24000</v>
      </c>
      <c r="I85" s="35" t="s">
        <v>288</v>
      </c>
    </row>
    <row r="86" customFormat="false" ht="15" hidden="false" customHeight="false" outlineLevel="0" collapsed="false">
      <c r="A86" s="14" t="n">
        <v>2</v>
      </c>
      <c r="B86" s="14" t="s">
        <v>11</v>
      </c>
      <c r="C86" s="35" t="s">
        <v>355</v>
      </c>
      <c r="D86" s="36" t="n">
        <f aca="false">ROUNDUP(Regions!D12/Assumptions!$C$20,0)*Regions!N12</f>
        <v>10</v>
      </c>
      <c r="E86" s="14" t="s">
        <v>270</v>
      </c>
      <c r="F86" s="37" t="n">
        <f aca="false">Assumptions!$C$19</f>
        <v>35</v>
      </c>
      <c r="G86" s="16" t="n">
        <f aca="false">D86*F86</f>
        <v>350</v>
      </c>
      <c r="H86" s="38" t="n">
        <f aca="false">G86*Assumptions!$C$5</f>
        <v>96950</v>
      </c>
      <c r="I86" s="35" t="s">
        <v>271</v>
      </c>
    </row>
    <row r="87" customFormat="false" ht="15" hidden="false" customHeight="false" outlineLevel="0" collapsed="false">
      <c r="A87" s="14" t="n">
        <v>2</v>
      </c>
      <c r="B87" s="14" t="s">
        <v>11</v>
      </c>
      <c r="C87" s="35" t="s">
        <v>356</v>
      </c>
      <c r="D87" s="36" t="n">
        <f aca="false">Regions!D12*Regions!N12</f>
        <v>15</v>
      </c>
      <c r="E87" s="14" t="s">
        <v>273</v>
      </c>
      <c r="F87" s="37" t="n">
        <f aca="false">Assumptions!$C$21</f>
        <v>10</v>
      </c>
      <c r="G87" s="16" t="n">
        <f aca="false">D87*F87</f>
        <v>150</v>
      </c>
      <c r="H87" s="38" t="n">
        <f aca="false">G87*Assumptions!$C$5</f>
        <v>41550</v>
      </c>
      <c r="I87" s="35" t="s">
        <v>274</v>
      </c>
    </row>
    <row r="88" customFormat="false" ht="25.35" hidden="false" customHeight="false" outlineLevel="0" collapsed="false">
      <c r="A88" s="14" t="n">
        <v>2</v>
      </c>
      <c r="B88" s="14" t="s">
        <v>12</v>
      </c>
      <c r="C88" s="35" t="s">
        <v>357</v>
      </c>
      <c r="D88" s="36" t="n">
        <f aca="false">Regions!C12*Assumptions!$C$13*Assumptions!$C$15/60</f>
        <v>8.33333333333333</v>
      </c>
      <c r="E88" s="14" t="s">
        <v>140</v>
      </c>
      <c r="F88" s="37" t="n">
        <f aca="false">Assumptions!$C$17</f>
        <v>12</v>
      </c>
      <c r="G88" s="16" t="n">
        <f aca="false">D88*F88</f>
        <v>100</v>
      </c>
      <c r="H88" s="38" t="n">
        <f aca="false">G88*Assumptions!$C$5</f>
        <v>27700</v>
      </c>
      <c r="I88" s="35" t="s">
        <v>276</v>
      </c>
    </row>
    <row r="89" customFormat="false" ht="25.35" hidden="false" customHeight="false" outlineLevel="0" collapsed="false">
      <c r="A89" s="14" t="n">
        <v>2</v>
      </c>
      <c r="B89" s="14" t="s">
        <v>12</v>
      </c>
      <c r="C89" s="35" t="s">
        <v>358</v>
      </c>
      <c r="D89" s="36" t="n">
        <f aca="false">Regions!C12*Assumptions!$C$14</f>
        <v>12</v>
      </c>
      <c r="E89" s="14" t="s">
        <v>76</v>
      </c>
      <c r="F89" s="37" t="n">
        <f aca="false">Assumptions!$C$16/Assumptions!$C$5</f>
        <v>1.80505415162455</v>
      </c>
      <c r="G89" s="16" t="n">
        <f aca="false">D89*F89</f>
        <v>21.6606498194946</v>
      </c>
      <c r="H89" s="38" t="n">
        <f aca="false">G89*Assumptions!$C$5</f>
        <v>6000</v>
      </c>
      <c r="I89" s="35" t="s">
        <v>278</v>
      </c>
    </row>
    <row r="90" customFormat="false" ht="25.35" hidden="false" customHeight="false" outlineLevel="0" collapsed="false">
      <c r="A90" s="14" t="n">
        <v>2</v>
      </c>
      <c r="B90" s="14" t="s">
        <v>12</v>
      </c>
      <c r="C90" s="35" t="s">
        <v>359</v>
      </c>
      <c r="D90" s="36" t="n">
        <f aca="false">Regions!C12*Assumptions!$C$13</f>
        <v>20</v>
      </c>
      <c r="E90" s="14" t="s">
        <v>76</v>
      </c>
      <c r="F90" s="37" t="n">
        <f aca="false">Assumptions!$C$28</f>
        <v>0.15</v>
      </c>
      <c r="G90" s="16" t="n">
        <f aca="false">D90*F90</f>
        <v>3</v>
      </c>
      <c r="H90" s="38" t="n">
        <f aca="false">G90*Assumptions!$C$5</f>
        <v>831</v>
      </c>
      <c r="I90" s="35"/>
    </row>
    <row r="91" customFormat="false" ht="15" hidden="false" customHeight="false" outlineLevel="0" collapsed="false">
      <c r="A91" s="14" t="n">
        <v>2</v>
      </c>
      <c r="B91" s="14" t="s">
        <v>13</v>
      </c>
      <c r="C91" s="35" t="s">
        <v>360</v>
      </c>
      <c r="D91" s="36" t="n">
        <f aca="false">Regions!C12*Assumptions!$C$18</f>
        <v>2</v>
      </c>
      <c r="E91" s="14" t="s">
        <v>72</v>
      </c>
      <c r="F91" s="37" t="n">
        <f aca="false">Assumptions!$C$7</f>
        <v>15</v>
      </c>
      <c r="G91" s="16" t="n">
        <f aca="false">D91*F91</f>
        <v>30</v>
      </c>
      <c r="H91" s="38" t="n">
        <f aca="false">G91*Assumptions!$C$5</f>
        <v>8310</v>
      </c>
      <c r="I91" s="35" t="s">
        <v>281</v>
      </c>
    </row>
    <row r="92" customFormat="false" ht="25.35" hidden="false" customHeight="false" outlineLevel="0" collapsed="false">
      <c r="A92" s="14" t="n">
        <v>3</v>
      </c>
      <c r="B92" s="14" t="s">
        <v>11</v>
      </c>
      <c r="C92" s="35" t="s">
        <v>361</v>
      </c>
      <c r="D92" s="36" t="n">
        <f aca="false">Regions!K13</f>
        <v>10</v>
      </c>
      <c r="E92" s="14" t="s">
        <v>260</v>
      </c>
      <c r="F92" s="37" t="n">
        <f aca="false">Assumptions!$C$7</f>
        <v>15</v>
      </c>
      <c r="G92" s="16" t="n">
        <f aca="false">D92*F92</f>
        <v>150</v>
      </c>
      <c r="H92" s="38" t="n">
        <f aca="false">G92*Assumptions!$C$5</f>
        <v>41550</v>
      </c>
      <c r="I92" s="35" t="s">
        <v>261</v>
      </c>
    </row>
    <row r="93" customFormat="false" ht="15" hidden="false" customHeight="false" outlineLevel="0" collapsed="false">
      <c r="A93" s="14" t="n">
        <v>3</v>
      </c>
      <c r="B93" s="14" t="s">
        <v>11</v>
      </c>
      <c r="C93" s="35" t="s">
        <v>362</v>
      </c>
      <c r="D93" s="36" t="n">
        <f aca="false">Regions!L13</f>
        <v>3</v>
      </c>
      <c r="E93" s="14" t="s">
        <v>72</v>
      </c>
      <c r="F93" s="37" t="n">
        <f aca="false">Assumptions!$C$9</f>
        <v>15</v>
      </c>
      <c r="G93" s="16" t="n">
        <f aca="false">D93*F93</f>
        <v>45</v>
      </c>
      <c r="H93" s="38" t="n">
        <f aca="false">G93*Assumptions!$C$5</f>
        <v>12465</v>
      </c>
      <c r="I93" s="35" t="s">
        <v>263</v>
      </c>
    </row>
    <row r="94" customFormat="false" ht="15" hidden="false" customHeight="false" outlineLevel="0" collapsed="false">
      <c r="A94" s="14" t="n">
        <v>3</v>
      </c>
      <c r="B94" s="14" t="s">
        <v>11</v>
      </c>
      <c r="C94" s="35" t="s">
        <v>363</v>
      </c>
      <c r="D94" s="36" t="n">
        <f aca="false">Regions!M13</f>
        <v>5</v>
      </c>
      <c r="E94" s="14" t="s">
        <v>72</v>
      </c>
      <c r="F94" s="37" t="n">
        <f aca="false">Assumptions!$C$8</f>
        <v>25</v>
      </c>
      <c r="G94" s="16" t="n">
        <f aca="false">D94*F94</f>
        <v>125</v>
      </c>
      <c r="H94" s="38" t="n">
        <f aca="false">G94*Assumptions!$C$5</f>
        <v>34625</v>
      </c>
      <c r="I94" s="35" t="s">
        <v>265</v>
      </c>
    </row>
    <row r="95" customFormat="false" ht="15" hidden="false" customHeight="false" outlineLevel="0" collapsed="false">
      <c r="A95" s="14" t="n">
        <v>3</v>
      </c>
      <c r="B95" s="14" t="s">
        <v>11</v>
      </c>
      <c r="C95" s="35" t="s">
        <v>364</v>
      </c>
      <c r="D95" s="36" t="n">
        <f aca="false">Regions!J13</f>
        <v>5</v>
      </c>
      <c r="E95" s="14" t="s">
        <v>267</v>
      </c>
      <c r="F95" s="37" t="n">
        <f aca="false">Assumptions!$C$22</f>
        <v>8</v>
      </c>
      <c r="G95" s="16" t="n">
        <f aca="false">D95*F95</f>
        <v>40</v>
      </c>
      <c r="H95" s="38" t="n">
        <f aca="false">G95*Assumptions!$C$5</f>
        <v>11080</v>
      </c>
      <c r="I95" s="35" t="s">
        <v>268</v>
      </c>
    </row>
    <row r="96" customFormat="false" ht="15" hidden="false" customHeight="false" outlineLevel="0" collapsed="false">
      <c r="A96" s="14" t="n">
        <v>3</v>
      </c>
      <c r="B96" s="14" t="s">
        <v>11</v>
      </c>
      <c r="C96" s="35" t="s">
        <v>365</v>
      </c>
      <c r="D96" s="36" t="n">
        <f aca="false">Regions!D13*Regions!F13</f>
        <v>2</v>
      </c>
      <c r="E96" s="14" t="s">
        <v>366</v>
      </c>
      <c r="F96" s="37" t="n">
        <f aca="false">Assumptions!$C$24</f>
        <v>90</v>
      </c>
      <c r="G96" s="16" t="n">
        <f aca="false">D96*F96</f>
        <v>180</v>
      </c>
      <c r="H96" s="38" t="n">
        <f aca="false">G96*Assumptions!$C$5</f>
        <v>49860</v>
      </c>
      <c r="I96" s="35" t="s">
        <v>367</v>
      </c>
    </row>
    <row r="97" customFormat="false" ht="15" hidden="false" customHeight="false" outlineLevel="0" collapsed="false">
      <c r="A97" s="14" t="n">
        <v>3</v>
      </c>
      <c r="B97" s="14" t="s">
        <v>11</v>
      </c>
      <c r="C97" s="35" t="s">
        <v>368</v>
      </c>
      <c r="D97" s="36" t="n">
        <f aca="false">Regions!G13</f>
        <v>4</v>
      </c>
      <c r="E97" s="14" t="s">
        <v>72</v>
      </c>
      <c r="F97" s="37" t="n">
        <f aca="false">Assumptions!$C$23</f>
        <v>60</v>
      </c>
      <c r="G97" s="16" t="n">
        <f aca="false">D97*F97</f>
        <v>240</v>
      </c>
      <c r="H97" s="38" t="n">
        <f aca="false">G97*Assumptions!$C$5</f>
        <v>66480</v>
      </c>
      <c r="I97" s="35" t="s">
        <v>369</v>
      </c>
    </row>
    <row r="98" customFormat="false" ht="15" hidden="false" customHeight="false" outlineLevel="0" collapsed="false">
      <c r="A98" s="14" t="n">
        <v>3</v>
      </c>
      <c r="B98" s="14" t="s">
        <v>11</v>
      </c>
      <c r="C98" s="35" t="s">
        <v>370</v>
      </c>
      <c r="D98" s="36" t="n">
        <f aca="false">ROUNDUP(Regions!D13/Assumptions!$C$20,0)*Regions!N13</f>
        <v>6</v>
      </c>
      <c r="E98" s="14" t="s">
        <v>270</v>
      </c>
      <c r="F98" s="37" t="n">
        <f aca="false">Assumptions!$C$19</f>
        <v>35</v>
      </c>
      <c r="G98" s="16" t="n">
        <f aca="false">D98*F98</f>
        <v>210</v>
      </c>
      <c r="H98" s="38" t="n">
        <f aca="false">G98*Assumptions!$C$5</f>
        <v>58170</v>
      </c>
      <c r="I98" s="35" t="s">
        <v>271</v>
      </c>
    </row>
    <row r="99" customFormat="false" ht="15" hidden="false" customHeight="false" outlineLevel="0" collapsed="false">
      <c r="A99" s="14" t="n">
        <v>3</v>
      </c>
      <c r="B99" s="14" t="s">
        <v>11</v>
      </c>
      <c r="C99" s="35" t="s">
        <v>371</v>
      </c>
      <c r="D99" s="36" t="n">
        <f aca="false">Regions!D13*Regions!N13</f>
        <v>6</v>
      </c>
      <c r="E99" s="14" t="s">
        <v>273</v>
      </c>
      <c r="F99" s="37" t="n">
        <f aca="false">Assumptions!$C$21</f>
        <v>10</v>
      </c>
      <c r="G99" s="16" t="n">
        <f aca="false">D99*F99</f>
        <v>60</v>
      </c>
      <c r="H99" s="38" t="n">
        <f aca="false">G99*Assumptions!$C$5</f>
        <v>16620</v>
      </c>
      <c r="I99" s="35" t="s">
        <v>274</v>
      </c>
    </row>
    <row r="100" customFormat="false" ht="25.35" hidden="false" customHeight="false" outlineLevel="0" collapsed="false">
      <c r="A100" s="14" t="n">
        <v>3</v>
      </c>
      <c r="B100" s="14" t="s">
        <v>12</v>
      </c>
      <c r="C100" s="35" t="s">
        <v>372</v>
      </c>
      <c r="D100" s="36" t="n">
        <f aca="false">Regions!C13*Assumptions!$C$13*Assumptions!$C$15/60</f>
        <v>12.5</v>
      </c>
      <c r="E100" s="14" t="s">
        <v>140</v>
      </c>
      <c r="F100" s="37" t="n">
        <f aca="false">Assumptions!$C$17</f>
        <v>12</v>
      </c>
      <c r="G100" s="16" t="n">
        <f aca="false">D100*F100</f>
        <v>150</v>
      </c>
      <c r="H100" s="38" t="n">
        <f aca="false">G100*Assumptions!$C$5</f>
        <v>41550</v>
      </c>
      <c r="I100" s="35" t="s">
        <v>276</v>
      </c>
    </row>
    <row r="101" customFormat="false" ht="25.35" hidden="false" customHeight="false" outlineLevel="0" collapsed="false">
      <c r="A101" s="14" t="n">
        <v>3</v>
      </c>
      <c r="B101" s="14" t="s">
        <v>12</v>
      </c>
      <c r="C101" s="35" t="s">
        <v>373</v>
      </c>
      <c r="D101" s="36" t="n">
        <f aca="false">Regions!C13*Assumptions!$C$14</f>
        <v>18</v>
      </c>
      <c r="E101" s="14" t="s">
        <v>76</v>
      </c>
      <c r="F101" s="37" t="n">
        <f aca="false">Assumptions!$C$16/Assumptions!$C$5</f>
        <v>1.80505415162455</v>
      </c>
      <c r="G101" s="16" t="n">
        <f aca="false">D101*F101</f>
        <v>32.4909747292419</v>
      </c>
      <c r="H101" s="38" t="n">
        <f aca="false">G101*Assumptions!$C$5</f>
        <v>9000</v>
      </c>
      <c r="I101" s="35" t="s">
        <v>278</v>
      </c>
    </row>
    <row r="102" customFormat="false" ht="25.35" hidden="false" customHeight="false" outlineLevel="0" collapsed="false">
      <c r="A102" s="14" t="n">
        <v>3</v>
      </c>
      <c r="B102" s="14" t="s">
        <v>12</v>
      </c>
      <c r="C102" s="35" t="s">
        <v>374</v>
      </c>
      <c r="D102" s="36" t="n">
        <f aca="false">Regions!C13*Assumptions!$C$13</f>
        <v>30</v>
      </c>
      <c r="E102" s="14" t="s">
        <v>76</v>
      </c>
      <c r="F102" s="37" t="n">
        <f aca="false">Assumptions!$C$28</f>
        <v>0.15</v>
      </c>
      <c r="G102" s="16" t="n">
        <f aca="false">D102*F102</f>
        <v>4.5</v>
      </c>
      <c r="H102" s="38" t="n">
        <f aca="false">G102*Assumptions!$C$5</f>
        <v>1246.5</v>
      </c>
      <c r="I102" s="35"/>
    </row>
    <row r="103" customFormat="false" ht="15" hidden="false" customHeight="false" outlineLevel="0" collapsed="false">
      <c r="A103" s="14" t="n">
        <v>3</v>
      </c>
      <c r="B103" s="14" t="s">
        <v>13</v>
      </c>
      <c r="C103" s="35" t="s">
        <v>375</v>
      </c>
      <c r="D103" s="36" t="n">
        <f aca="false">Regions!C13*Assumptions!$C$18</f>
        <v>3</v>
      </c>
      <c r="E103" s="14" t="s">
        <v>72</v>
      </c>
      <c r="F103" s="37" t="n">
        <f aca="false">Assumptions!$C$7</f>
        <v>15</v>
      </c>
      <c r="G103" s="16" t="n">
        <f aca="false">D103*F103</f>
        <v>45</v>
      </c>
      <c r="H103" s="38" t="n">
        <f aca="false">G103*Assumptions!$C$5</f>
        <v>12465</v>
      </c>
      <c r="I103" s="35" t="s">
        <v>281</v>
      </c>
    </row>
    <row r="104" customFormat="false" ht="25.35" hidden="false" customHeight="false" outlineLevel="0" collapsed="false">
      <c r="A104" s="14" t="n">
        <v>3</v>
      </c>
      <c r="B104" s="14" t="s">
        <v>11</v>
      </c>
      <c r="C104" s="35" t="s">
        <v>376</v>
      </c>
      <c r="D104" s="36" t="n">
        <f aca="false">Regions!K14</f>
        <v>8</v>
      </c>
      <c r="E104" s="14" t="s">
        <v>260</v>
      </c>
      <c r="F104" s="37" t="n">
        <f aca="false">Assumptions!$C$7</f>
        <v>15</v>
      </c>
      <c r="G104" s="16" t="n">
        <f aca="false">D104*F104</f>
        <v>120</v>
      </c>
      <c r="H104" s="38" t="n">
        <f aca="false">G104*Assumptions!$C$5</f>
        <v>33240</v>
      </c>
      <c r="I104" s="35" t="s">
        <v>261</v>
      </c>
    </row>
    <row r="105" customFormat="false" ht="15" hidden="false" customHeight="false" outlineLevel="0" collapsed="false">
      <c r="A105" s="14" t="n">
        <v>3</v>
      </c>
      <c r="B105" s="14" t="s">
        <v>11</v>
      </c>
      <c r="C105" s="35" t="s">
        <v>377</v>
      </c>
      <c r="D105" s="36" t="n">
        <f aca="false">Regions!L14</f>
        <v>2</v>
      </c>
      <c r="E105" s="14" t="s">
        <v>72</v>
      </c>
      <c r="F105" s="37" t="n">
        <f aca="false">Assumptions!$C$9</f>
        <v>15</v>
      </c>
      <c r="G105" s="16" t="n">
        <f aca="false">D105*F105</f>
        <v>30</v>
      </c>
      <c r="H105" s="38" t="n">
        <f aca="false">G105*Assumptions!$C$5</f>
        <v>8310</v>
      </c>
      <c r="I105" s="35" t="s">
        <v>263</v>
      </c>
    </row>
    <row r="106" customFormat="false" ht="15" hidden="false" customHeight="false" outlineLevel="0" collapsed="false">
      <c r="A106" s="14" t="n">
        <v>3</v>
      </c>
      <c r="B106" s="14" t="s">
        <v>11</v>
      </c>
      <c r="C106" s="35" t="s">
        <v>378</v>
      </c>
      <c r="D106" s="36" t="n">
        <f aca="false">Regions!M14</f>
        <v>4</v>
      </c>
      <c r="E106" s="14" t="s">
        <v>72</v>
      </c>
      <c r="F106" s="37" t="n">
        <f aca="false">Assumptions!$C$8</f>
        <v>25</v>
      </c>
      <c r="G106" s="16" t="n">
        <f aca="false">D106*F106</f>
        <v>100</v>
      </c>
      <c r="H106" s="38" t="n">
        <f aca="false">G106*Assumptions!$C$5</f>
        <v>27700</v>
      </c>
      <c r="I106" s="35" t="s">
        <v>265</v>
      </c>
    </row>
    <row r="107" customFormat="false" ht="15" hidden="false" customHeight="false" outlineLevel="0" collapsed="false">
      <c r="A107" s="14" t="n">
        <v>3</v>
      </c>
      <c r="B107" s="14" t="s">
        <v>11</v>
      </c>
      <c r="C107" s="35" t="s">
        <v>379</v>
      </c>
      <c r="D107" s="36" t="n">
        <f aca="false">Regions!J14</f>
        <v>4</v>
      </c>
      <c r="E107" s="14" t="s">
        <v>267</v>
      </c>
      <c r="F107" s="37" t="n">
        <f aca="false">Assumptions!$C$22</f>
        <v>8</v>
      </c>
      <c r="G107" s="16" t="n">
        <f aca="false">D107*F107</f>
        <v>32</v>
      </c>
      <c r="H107" s="38" t="n">
        <f aca="false">G107*Assumptions!$C$5</f>
        <v>8864</v>
      </c>
      <c r="I107" s="35" t="s">
        <v>268</v>
      </c>
    </row>
    <row r="108" customFormat="false" ht="15" hidden="false" customHeight="false" outlineLevel="0" collapsed="false">
      <c r="A108" s="14" t="n">
        <v>3</v>
      </c>
      <c r="B108" s="14" t="s">
        <v>11</v>
      </c>
      <c r="C108" s="35" t="s">
        <v>380</v>
      </c>
      <c r="D108" s="36" t="n">
        <f aca="false">Regions!G14</f>
        <v>3</v>
      </c>
      <c r="E108" s="14" t="s">
        <v>72</v>
      </c>
      <c r="F108" s="37" t="n">
        <f aca="false">Assumptions!$C$23</f>
        <v>60</v>
      </c>
      <c r="G108" s="16" t="n">
        <f aca="false">D108*F108</f>
        <v>180</v>
      </c>
      <c r="H108" s="38" t="n">
        <f aca="false">G108*Assumptions!$C$5</f>
        <v>49860</v>
      </c>
      <c r="I108" s="35" t="s">
        <v>369</v>
      </c>
    </row>
    <row r="109" customFormat="false" ht="15" hidden="false" customHeight="false" outlineLevel="0" collapsed="false">
      <c r="A109" s="14" t="n">
        <v>3</v>
      </c>
      <c r="B109" s="14" t="s">
        <v>11</v>
      </c>
      <c r="C109" s="35" t="s">
        <v>381</v>
      </c>
      <c r="D109" s="36" t="n">
        <f aca="false">ROUNDUP(Regions!D14/Assumptions!$C$20,0)*Regions!N14</f>
        <v>5</v>
      </c>
      <c r="E109" s="14" t="s">
        <v>270</v>
      </c>
      <c r="F109" s="37" t="n">
        <f aca="false">Assumptions!$C$19</f>
        <v>35</v>
      </c>
      <c r="G109" s="16" t="n">
        <f aca="false">D109*F109</f>
        <v>175</v>
      </c>
      <c r="H109" s="38" t="n">
        <f aca="false">G109*Assumptions!$C$5</f>
        <v>48475</v>
      </c>
      <c r="I109" s="35" t="s">
        <v>271</v>
      </c>
    </row>
    <row r="110" customFormat="false" ht="15" hidden="false" customHeight="false" outlineLevel="0" collapsed="false">
      <c r="A110" s="14" t="n">
        <v>3</v>
      </c>
      <c r="B110" s="14" t="s">
        <v>11</v>
      </c>
      <c r="C110" s="35" t="s">
        <v>382</v>
      </c>
      <c r="D110" s="36" t="n">
        <f aca="false">Regions!D14*Regions!N14</f>
        <v>5</v>
      </c>
      <c r="E110" s="14" t="s">
        <v>273</v>
      </c>
      <c r="F110" s="37" t="n">
        <f aca="false">Assumptions!$C$21</f>
        <v>10</v>
      </c>
      <c r="G110" s="16" t="n">
        <f aca="false">D110*F110</f>
        <v>50</v>
      </c>
      <c r="H110" s="38" t="n">
        <f aca="false">G110*Assumptions!$C$5</f>
        <v>13850</v>
      </c>
      <c r="I110" s="35" t="s">
        <v>274</v>
      </c>
    </row>
    <row r="111" customFormat="false" ht="15" hidden="false" customHeight="false" outlineLevel="0" collapsed="false">
      <c r="A111" s="14" t="n">
        <v>3</v>
      </c>
      <c r="B111" s="14" t="s">
        <v>12</v>
      </c>
      <c r="C111" s="35" t="s">
        <v>383</v>
      </c>
      <c r="D111" s="36" t="n">
        <f aca="false">Regions!C14*Assumptions!$C$13*Assumptions!$C$15/60</f>
        <v>8.33333333333333</v>
      </c>
      <c r="E111" s="14" t="s">
        <v>140</v>
      </c>
      <c r="F111" s="37" t="n">
        <f aca="false">Assumptions!$C$17</f>
        <v>12</v>
      </c>
      <c r="G111" s="16" t="n">
        <f aca="false">D111*F111</f>
        <v>100</v>
      </c>
      <c r="H111" s="38" t="n">
        <f aca="false">G111*Assumptions!$C$5</f>
        <v>27700</v>
      </c>
      <c r="I111" s="35" t="s">
        <v>276</v>
      </c>
    </row>
    <row r="112" customFormat="false" ht="15" hidden="false" customHeight="false" outlineLevel="0" collapsed="false">
      <c r="A112" s="14" t="n">
        <v>3</v>
      </c>
      <c r="B112" s="14" t="s">
        <v>12</v>
      </c>
      <c r="C112" s="35" t="s">
        <v>384</v>
      </c>
      <c r="D112" s="36" t="n">
        <f aca="false">Regions!C14*Assumptions!$C$14</f>
        <v>12</v>
      </c>
      <c r="E112" s="14" t="s">
        <v>76</v>
      </c>
      <c r="F112" s="37" t="n">
        <f aca="false">Assumptions!$C$16/Assumptions!$C$5</f>
        <v>1.80505415162455</v>
      </c>
      <c r="G112" s="16" t="n">
        <f aca="false">D112*F112</f>
        <v>21.6606498194946</v>
      </c>
      <c r="H112" s="38" t="n">
        <f aca="false">G112*Assumptions!$C$5</f>
        <v>6000</v>
      </c>
      <c r="I112" s="35" t="s">
        <v>278</v>
      </c>
    </row>
    <row r="113" customFormat="false" ht="15" hidden="false" customHeight="false" outlineLevel="0" collapsed="false">
      <c r="A113" s="14" t="n">
        <v>3</v>
      </c>
      <c r="B113" s="14" t="s">
        <v>12</v>
      </c>
      <c r="C113" s="35" t="s">
        <v>385</v>
      </c>
      <c r="D113" s="36" t="n">
        <f aca="false">Regions!C14*Assumptions!$C$13</f>
        <v>20</v>
      </c>
      <c r="E113" s="14" t="s">
        <v>76</v>
      </c>
      <c r="F113" s="37" t="n">
        <f aca="false">Assumptions!$C$28</f>
        <v>0.15</v>
      </c>
      <c r="G113" s="16" t="n">
        <f aca="false">D113*F113</f>
        <v>3</v>
      </c>
      <c r="H113" s="38" t="n">
        <f aca="false">G113*Assumptions!$C$5</f>
        <v>831</v>
      </c>
      <c r="I113" s="35"/>
    </row>
    <row r="114" customFormat="false" ht="15" hidden="false" customHeight="false" outlineLevel="0" collapsed="false">
      <c r="A114" s="14" t="n">
        <v>3</v>
      </c>
      <c r="B114" s="14" t="s">
        <v>13</v>
      </c>
      <c r="C114" s="35" t="s">
        <v>386</v>
      </c>
      <c r="D114" s="36" t="n">
        <f aca="false">Regions!C14*Assumptions!$C$18</f>
        <v>2</v>
      </c>
      <c r="E114" s="14" t="s">
        <v>72</v>
      </c>
      <c r="F114" s="37" t="n">
        <f aca="false">Assumptions!$C$7</f>
        <v>15</v>
      </c>
      <c r="G114" s="16" t="n">
        <f aca="false">D114*F114</f>
        <v>30</v>
      </c>
      <c r="H114" s="38" t="n">
        <f aca="false">G114*Assumptions!$C$5</f>
        <v>8310</v>
      </c>
      <c r="I114" s="35" t="s">
        <v>281</v>
      </c>
    </row>
    <row r="115" customFormat="false" ht="25.35" hidden="false" customHeight="false" outlineLevel="0" collapsed="false">
      <c r="A115" s="14" t="n">
        <v>3</v>
      </c>
      <c r="B115" s="14" t="s">
        <v>11</v>
      </c>
      <c r="C115" s="35" t="s">
        <v>387</v>
      </c>
      <c r="D115" s="36" t="n">
        <f aca="false">Regions!K15</f>
        <v>8</v>
      </c>
      <c r="E115" s="14" t="s">
        <v>260</v>
      </c>
      <c r="F115" s="37" t="n">
        <f aca="false">Assumptions!$C$7</f>
        <v>15</v>
      </c>
      <c r="G115" s="16" t="n">
        <f aca="false">D115*F115</f>
        <v>120</v>
      </c>
      <c r="H115" s="38" t="n">
        <f aca="false">G115*Assumptions!$C$5</f>
        <v>33240</v>
      </c>
      <c r="I115" s="35" t="s">
        <v>261</v>
      </c>
    </row>
    <row r="116" customFormat="false" ht="25.35" hidden="false" customHeight="false" outlineLevel="0" collapsed="false">
      <c r="A116" s="14" t="n">
        <v>3</v>
      </c>
      <c r="B116" s="14" t="s">
        <v>11</v>
      </c>
      <c r="C116" s="35" t="s">
        <v>388</v>
      </c>
      <c r="D116" s="36" t="n">
        <f aca="false">Regions!L15</f>
        <v>2</v>
      </c>
      <c r="E116" s="14" t="s">
        <v>72</v>
      </c>
      <c r="F116" s="37" t="n">
        <f aca="false">Assumptions!$C$9</f>
        <v>15</v>
      </c>
      <c r="G116" s="16" t="n">
        <f aca="false">D116*F116</f>
        <v>30</v>
      </c>
      <c r="H116" s="38" t="n">
        <f aca="false">G116*Assumptions!$C$5</f>
        <v>8310</v>
      </c>
      <c r="I116" s="35" t="s">
        <v>263</v>
      </c>
    </row>
    <row r="117" customFormat="false" ht="25.35" hidden="false" customHeight="false" outlineLevel="0" collapsed="false">
      <c r="A117" s="14" t="n">
        <v>3</v>
      </c>
      <c r="B117" s="14" t="s">
        <v>11</v>
      </c>
      <c r="C117" s="35" t="s">
        <v>389</v>
      </c>
      <c r="D117" s="36" t="n">
        <f aca="false">Regions!M15</f>
        <v>4</v>
      </c>
      <c r="E117" s="14" t="s">
        <v>72</v>
      </c>
      <c r="F117" s="37" t="n">
        <f aca="false">Assumptions!$C$8</f>
        <v>25</v>
      </c>
      <c r="G117" s="16" t="n">
        <f aca="false">D117*F117</f>
        <v>100</v>
      </c>
      <c r="H117" s="38" t="n">
        <f aca="false">G117*Assumptions!$C$5</f>
        <v>27700</v>
      </c>
      <c r="I117" s="35" t="s">
        <v>265</v>
      </c>
    </row>
    <row r="118" customFormat="false" ht="15" hidden="false" customHeight="false" outlineLevel="0" collapsed="false">
      <c r="A118" s="14" t="n">
        <v>3</v>
      </c>
      <c r="B118" s="14" t="s">
        <v>11</v>
      </c>
      <c r="C118" s="35" t="s">
        <v>390</v>
      </c>
      <c r="D118" s="36" t="n">
        <f aca="false">Regions!J15</f>
        <v>4</v>
      </c>
      <c r="E118" s="14" t="s">
        <v>267</v>
      </c>
      <c r="F118" s="37" t="n">
        <f aca="false">Assumptions!$C$22</f>
        <v>8</v>
      </c>
      <c r="G118" s="16" t="n">
        <f aca="false">D118*F118</f>
        <v>32</v>
      </c>
      <c r="H118" s="38" t="n">
        <f aca="false">G118*Assumptions!$C$5</f>
        <v>8864</v>
      </c>
      <c r="I118" s="35" t="s">
        <v>268</v>
      </c>
    </row>
    <row r="119" customFormat="false" ht="25.35" hidden="false" customHeight="false" outlineLevel="0" collapsed="false">
      <c r="A119" s="14" t="n">
        <v>3</v>
      </c>
      <c r="B119" s="14" t="s">
        <v>11</v>
      </c>
      <c r="C119" s="35" t="s">
        <v>391</v>
      </c>
      <c r="D119" s="36" t="n">
        <f aca="false">Regions!G15</f>
        <v>3</v>
      </c>
      <c r="E119" s="14" t="s">
        <v>72</v>
      </c>
      <c r="F119" s="37" t="n">
        <f aca="false">Assumptions!$C$23</f>
        <v>60</v>
      </c>
      <c r="G119" s="16" t="n">
        <f aca="false">D119*F119</f>
        <v>180</v>
      </c>
      <c r="H119" s="38" t="n">
        <f aca="false">G119*Assumptions!$C$5</f>
        <v>49860</v>
      </c>
      <c r="I119" s="35" t="s">
        <v>369</v>
      </c>
    </row>
    <row r="120" customFormat="false" ht="15" hidden="false" customHeight="false" outlineLevel="0" collapsed="false">
      <c r="A120" s="14" t="n">
        <v>3</v>
      </c>
      <c r="B120" s="14" t="s">
        <v>11</v>
      </c>
      <c r="C120" s="35" t="s">
        <v>392</v>
      </c>
      <c r="D120" s="36" t="n">
        <f aca="false">ROUNDUP(Regions!D15/Assumptions!$C$20,0)*Regions!N15</f>
        <v>5</v>
      </c>
      <c r="E120" s="14" t="s">
        <v>270</v>
      </c>
      <c r="F120" s="37" t="n">
        <f aca="false">Assumptions!$C$19</f>
        <v>35</v>
      </c>
      <c r="G120" s="16" t="n">
        <f aca="false">D120*F120</f>
        <v>175</v>
      </c>
      <c r="H120" s="38" t="n">
        <f aca="false">G120*Assumptions!$C$5</f>
        <v>48475</v>
      </c>
      <c r="I120" s="35" t="s">
        <v>271</v>
      </c>
    </row>
    <row r="121" customFormat="false" ht="25.35" hidden="false" customHeight="false" outlineLevel="0" collapsed="false">
      <c r="A121" s="14" t="n">
        <v>3</v>
      </c>
      <c r="B121" s="14" t="s">
        <v>11</v>
      </c>
      <c r="C121" s="35" t="s">
        <v>393</v>
      </c>
      <c r="D121" s="36" t="n">
        <f aca="false">Regions!D15*Regions!N15</f>
        <v>5</v>
      </c>
      <c r="E121" s="14" t="s">
        <v>273</v>
      </c>
      <c r="F121" s="37" t="n">
        <f aca="false">Assumptions!$C$21</f>
        <v>10</v>
      </c>
      <c r="G121" s="16" t="n">
        <f aca="false">D121*F121</f>
        <v>50</v>
      </c>
      <c r="H121" s="38" t="n">
        <f aca="false">G121*Assumptions!$C$5</f>
        <v>13850</v>
      </c>
      <c r="I121" s="35" t="s">
        <v>274</v>
      </c>
    </row>
    <row r="122" customFormat="false" ht="25.35" hidden="false" customHeight="false" outlineLevel="0" collapsed="false">
      <c r="A122" s="14" t="n">
        <v>3</v>
      </c>
      <c r="B122" s="14" t="s">
        <v>12</v>
      </c>
      <c r="C122" s="35" t="s">
        <v>394</v>
      </c>
      <c r="D122" s="36" t="n">
        <f aca="false">Regions!C15*Assumptions!$C$13*Assumptions!$C$15/60</f>
        <v>8.33333333333333</v>
      </c>
      <c r="E122" s="14" t="s">
        <v>140</v>
      </c>
      <c r="F122" s="37" t="n">
        <f aca="false">Assumptions!$C$17</f>
        <v>12</v>
      </c>
      <c r="G122" s="16" t="n">
        <f aca="false">D122*F122</f>
        <v>100</v>
      </c>
      <c r="H122" s="38" t="n">
        <f aca="false">G122*Assumptions!$C$5</f>
        <v>27700</v>
      </c>
      <c r="I122" s="35" t="s">
        <v>276</v>
      </c>
    </row>
    <row r="123" customFormat="false" ht="25.35" hidden="false" customHeight="false" outlineLevel="0" collapsed="false">
      <c r="A123" s="14" t="n">
        <v>3</v>
      </c>
      <c r="B123" s="14" t="s">
        <v>12</v>
      </c>
      <c r="C123" s="35" t="s">
        <v>395</v>
      </c>
      <c r="D123" s="36" t="n">
        <f aca="false">Regions!C15*Assumptions!$C$14</f>
        <v>12</v>
      </c>
      <c r="E123" s="14" t="s">
        <v>76</v>
      </c>
      <c r="F123" s="37" t="n">
        <f aca="false">Assumptions!$C$16/Assumptions!$C$5</f>
        <v>1.80505415162455</v>
      </c>
      <c r="G123" s="16" t="n">
        <f aca="false">D123*F123</f>
        <v>21.6606498194946</v>
      </c>
      <c r="H123" s="38" t="n">
        <f aca="false">G123*Assumptions!$C$5</f>
        <v>6000</v>
      </c>
      <c r="I123" s="35" t="s">
        <v>278</v>
      </c>
    </row>
    <row r="124" customFormat="false" ht="25.35" hidden="false" customHeight="false" outlineLevel="0" collapsed="false">
      <c r="A124" s="14" t="n">
        <v>3</v>
      </c>
      <c r="B124" s="14" t="s">
        <v>12</v>
      </c>
      <c r="C124" s="35" t="s">
        <v>396</v>
      </c>
      <c r="D124" s="36" t="n">
        <f aca="false">Regions!C15*Assumptions!$C$13</f>
        <v>20</v>
      </c>
      <c r="E124" s="14" t="s">
        <v>76</v>
      </c>
      <c r="F124" s="37" t="n">
        <f aca="false">Assumptions!$C$28</f>
        <v>0.15</v>
      </c>
      <c r="G124" s="16" t="n">
        <f aca="false">D124*F124</f>
        <v>3</v>
      </c>
      <c r="H124" s="38" t="n">
        <f aca="false">G124*Assumptions!$C$5</f>
        <v>831</v>
      </c>
      <c r="I124" s="35"/>
    </row>
    <row r="125" customFormat="false" ht="25.35" hidden="false" customHeight="false" outlineLevel="0" collapsed="false">
      <c r="A125" s="14" t="n">
        <v>3</v>
      </c>
      <c r="B125" s="14" t="s">
        <v>13</v>
      </c>
      <c r="C125" s="35" t="s">
        <v>397</v>
      </c>
      <c r="D125" s="36" t="n">
        <f aca="false">Regions!C15*Assumptions!$C$18</f>
        <v>2</v>
      </c>
      <c r="E125" s="14" t="s">
        <v>72</v>
      </c>
      <c r="F125" s="37" t="n">
        <f aca="false">Assumptions!$C$7</f>
        <v>15</v>
      </c>
      <c r="G125" s="16" t="n">
        <f aca="false">D125*F125</f>
        <v>30</v>
      </c>
      <c r="H125" s="38" t="n">
        <f aca="false">G125*Assumptions!$C$5</f>
        <v>8310</v>
      </c>
      <c r="I125" s="35" t="s">
        <v>281</v>
      </c>
    </row>
    <row r="126" customFormat="false" ht="25.35" hidden="false" customHeight="false" outlineLevel="0" collapsed="false">
      <c r="A126" s="14" t="n">
        <v>3</v>
      </c>
      <c r="B126" s="14" t="s">
        <v>11</v>
      </c>
      <c r="C126" s="35" t="s">
        <v>398</v>
      </c>
      <c r="D126" s="36" t="n">
        <f aca="false">Regions!K16</f>
        <v>8</v>
      </c>
      <c r="E126" s="14" t="s">
        <v>260</v>
      </c>
      <c r="F126" s="37" t="n">
        <f aca="false">Assumptions!$C$7</f>
        <v>15</v>
      </c>
      <c r="G126" s="16" t="n">
        <f aca="false">D126*F126</f>
        <v>120</v>
      </c>
      <c r="H126" s="38" t="n">
        <f aca="false">G126*Assumptions!$C$5</f>
        <v>33240</v>
      </c>
      <c r="I126" s="35" t="s">
        <v>261</v>
      </c>
    </row>
    <row r="127" customFormat="false" ht="15" hidden="false" customHeight="false" outlineLevel="0" collapsed="false">
      <c r="A127" s="14" t="n">
        <v>3</v>
      </c>
      <c r="B127" s="14" t="s">
        <v>11</v>
      </c>
      <c r="C127" s="35" t="s">
        <v>399</v>
      </c>
      <c r="D127" s="36" t="n">
        <f aca="false">Regions!L16</f>
        <v>2</v>
      </c>
      <c r="E127" s="14" t="s">
        <v>72</v>
      </c>
      <c r="F127" s="37" t="n">
        <f aca="false">Assumptions!$C$9</f>
        <v>15</v>
      </c>
      <c r="G127" s="16" t="n">
        <f aca="false">D127*F127</f>
        <v>30</v>
      </c>
      <c r="H127" s="38" t="n">
        <f aca="false">G127*Assumptions!$C$5</f>
        <v>8310</v>
      </c>
      <c r="I127" s="35" t="s">
        <v>263</v>
      </c>
    </row>
    <row r="128" customFormat="false" ht="15" hidden="false" customHeight="false" outlineLevel="0" collapsed="false">
      <c r="A128" s="14" t="n">
        <v>3</v>
      </c>
      <c r="B128" s="14" t="s">
        <v>11</v>
      </c>
      <c r="C128" s="35" t="s">
        <v>400</v>
      </c>
      <c r="D128" s="36" t="n">
        <f aca="false">Regions!M16</f>
        <v>4</v>
      </c>
      <c r="E128" s="14" t="s">
        <v>72</v>
      </c>
      <c r="F128" s="37" t="n">
        <f aca="false">Assumptions!$C$8</f>
        <v>25</v>
      </c>
      <c r="G128" s="16" t="n">
        <f aca="false">D128*F128</f>
        <v>100</v>
      </c>
      <c r="H128" s="38" t="n">
        <f aca="false">G128*Assumptions!$C$5</f>
        <v>27700</v>
      </c>
      <c r="I128" s="35" t="s">
        <v>265</v>
      </c>
    </row>
    <row r="129" customFormat="false" ht="15" hidden="false" customHeight="false" outlineLevel="0" collapsed="false">
      <c r="A129" s="14" t="n">
        <v>3</v>
      </c>
      <c r="B129" s="14" t="s">
        <v>11</v>
      </c>
      <c r="C129" s="35" t="s">
        <v>401</v>
      </c>
      <c r="D129" s="36" t="n">
        <f aca="false">Regions!J16</f>
        <v>4</v>
      </c>
      <c r="E129" s="14" t="s">
        <v>267</v>
      </c>
      <c r="F129" s="37" t="n">
        <f aca="false">Assumptions!$C$22</f>
        <v>8</v>
      </c>
      <c r="G129" s="16" t="n">
        <f aca="false">D129*F129</f>
        <v>32</v>
      </c>
      <c r="H129" s="38" t="n">
        <f aca="false">G129*Assumptions!$C$5</f>
        <v>8864</v>
      </c>
      <c r="I129" s="35" t="s">
        <v>268</v>
      </c>
    </row>
    <row r="130" customFormat="false" ht="15" hidden="false" customHeight="false" outlineLevel="0" collapsed="false">
      <c r="A130" s="14" t="n">
        <v>3</v>
      </c>
      <c r="B130" s="14" t="s">
        <v>11</v>
      </c>
      <c r="C130" s="35" t="s">
        <v>402</v>
      </c>
      <c r="D130" s="36" t="n">
        <f aca="false">Regions!D16</f>
        <v>3</v>
      </c>
      <c r="E130" s="14" t="s">
        <v>287</v>
      </c>
      <c r="F130" s="37" t="n">
        <f aca="false">Regions!E16/Assumptions!$C$5</f>
        <v>21.5162454873646</v>
      </c>
      <c r="G130" s="16" t="n">
        <f aca="false">D130*F130</f>
        <v>64.5487364620939</v>
      </c>
      <c r="H130" s="38" t="n">
        <f aca="false">G130*Assumptions!$C$5</f>
        <v>17880</v>
      </c>
      <c r="I130" s="35" t="s">
        <v>288</v>
      </c>
    </row>
    <row r="131" customFormat="false" ht="15" hidden="false" customHeight="false" outlineLevel="0" collapsed="false">
      <c r="A131" s="14" t="n">
        <v>3</v>
      </c>
      <c r="B131" s="14" t="s">
        <v>11</v>
      </c>
      <c r="C131" s="35" t="s">
        <v>403</v>
      </c>
      <c r="D131" s="36" t="n">
        <f aca="false">ROUNDUP(Regions!D16/Assumptions!$C$20,0)*Regions!N16</f>
        <v>10</v>
      </c>
      <c r="E131" s="14" t="s">
        <v>270</v>
      </c>
      <c r="F131" s="37" t="n">
        <f aca="false">Assumptions!$C$19</f>
        <v>35</v>
      </c>
      <c r="G131" s="16" t="n">
        <f aca="false">D131*F131</f>
        <v>350</v>
      </c>
      <c r="H131" s="38" t="n">
        <f aca="false">G131*Assumptions!$C$5</f>
        <v>96950</v>
      </c>
      <c r="I131" s="35" t="s">
        <v>271</v>
      </c>
    </row>
    <row r="132" customFormat="false" ht="15" hidden="false" customHeight="false" outlineLevel="0" collapsed="false">
      <c r="A132" s="14" t="n">
        <v>3</v>
      </c>
      <c r="B132" s="14" t="s">
        <v>11</v>
      </c>
      <c r="C132" s="35" t="s">
        <v>404</v>
      </c>
      <c r="D132" s="36" t="n">
        <f aca="false">Regions!D16*Regions!N16</f>
        <v>15</v>
      </c>
      <c r="E132" s="14" t="s">
        <v>273</v>
      </c>
      <c r="F132" s="37" t="n">
        <f aca="false">Assumptions!$C$21</f>
        <v>10</v>
      </c>
      <c r="G132" s="16" t="n">
        <f aca="false">D132*F132</f>
        <v>150</v>
      </c>
      <c r="H132" s="38" t="n">
        <f aca="false">G132*Assumptions!$C$5</f>
        <v>41550</v>
      </c>
      <c r="I132" s="35" t="s">
        <v>274</v>
      </c>
    </row>
    <row r="133" customFormat="false" ht="25.35" hidden="false" customHeight="false" outlineLevel="0" collapsed="false">
      <c r="A133" s="14" t="n">
        <v>3</v>
      </c>
      <c r="B133" s="14" t="s">
        <v>12</v>
      </c>
      <c r="C133" s="35" t="s">
        <v>405</v>
      </c>
      <c r="D133" s="36" t="n">
        <f aca="false">Regions!C16*Assumptions!$C$13*Assumptions!$C$15/60</f>
        <v>8.33333333333333</v>
      </c>
      <c r="E133" s="14" t="s">
        <v>140</v>
      </c>
      <c r="F133" s="37" t="n">
        <f aca="false">Assumptions!$C$17</f>
        <v>12</v>
      </c>
      <c r="G133" s="16" t="n">
        <f aca="false">D133*F133</f>
        <v>100</v>
      </c>
      <c r="H133" s="38" t="n">
        <f aca="false">G133*Assumptions!$C$5</f>
        <v>27700</v>
      </c>
      <c r="I133" s="35" t="s">
        <v>276</v>
      </c>
    </row>
    <row r="134" customFormat="false" ht="25.35" hidden="false" customHeight="false" outlineLevel="0" collapsed="false">
      <c r="A134" s="14" t="n">
        <v>3</v>
      </c>
      <c r="B134" s="14" t="s">
        <v>12</v>
      </c>
      <c r="C134" s="35" t="s">
        <v>406</v>
      </c>
      <c r="D134" s="36" t="n">
        <f aca="false">Regions!C16*Assumptions!$C$14</f>
        <v>12</v>
      </c>
      <c r="E134" s="14" t="s">
        <v>76</v>
      </c>
      <c r="F134" s="37" t="n">
        <f aca="false">Assumptions!$C$16/Assumptions!$C$5</f>
        <v>1.80505415162455</v>
      </c>
      <c r="G134" s="16" t="n">
        <f aca="false">D134*F134</f>
        <v>21.6606498194946</v>
      </c>
      <c r="H134" s="38" t="n">
        <f aca="false">G134*Assumptions!$C$5</f>
        <v>6000</v>
      </c>
      <c r="I134" s="35" t="s">
        <v>278</v>
      </c>
    </row>
    <row r="135" customFormat="false" ht="25.35" hidden="false" customHeight="false" outlineLevel="0" collapsed="false">
      <c r="A135" s="14" t="n">
        <v>3</v>
      </c>
      <c r="B135" s="14" t="s">
        <v>12</v>
      </c>
      <c r="C135" s="35" t="s">
        <v>407</v>
      </c>
      <c r="D135" s="36" t="n">
        <f aca="false">Regions!C16*Assumptions!$C$13</f>
        <v>20</v>
      </c>
      <c r="E135" s="14" t="s">
        <v>76</v>
      </c>
      <c r="F135" s="37" t="n">
        <f aca="false">Assumptions!$C$28</f>
        <v>0.15</v>
      </c>
      <c r="G135" s="16" t="n">
        <f aca="false">D135*F135</f>
        <v>3</v>
      </c>
      <c r="H135" s="38" t="n">
        <f aca="false">G135*Assumptions!$C$5</f>
        <v>831</v>
      </c>
      <c r="I135" s="35"/>
    </row>
    <row r="136" customFormat="false" ht="15" hidden="false" customHeight="false" outlineLevel="0" collapsed="false">
      <c r="A136" s="14" t="n">
        <v>3</v>
      </c>
      <c r="B136" s="14" t="s">
        <v>13</v>
      </c>
      <c r="C136" s="35" t="s">
        <v>408</v>
      </c>
      <c r="D136" s="36" t="n">
        <f aca="false">Regions!C16*Assumptions!$C$18</f>
        <v>2</v>
      </c>
      <c r="E136" s="14" t="s">
        <v>72</v>
      </c>
      <c r="F136" s="37" t="n">
        <f aca="false">Assumptions!$C$7</f>
        <v>15</v>
      </c>
      <c r="G136" s="16" t="n">
        <f aca="false">D136*F136</f>
        <v>30</v>
      </c>
      <c r="H136" s="38" t="n">
        <f aca="false">G136*Assumptions!$C$5</f>
        <v>8310</v>
      </c>
      <c r="I136" s="35" t="s">
        <v>281</v>
      </c>
    </row>
    <row r="137" customFormat="false" ht="25.35" hidden="false" customHeight="false" outlineLevel="0" collapsed="false">
      <c r="A137" s="14" t="n">
        <v>3</v>
      </c>
      <c r="B137" s="14" t="s">
        <v>11</v>
      </c>
      <c r="C137" s="35" t="s">
        <v>409</v>
      </c>
      <c r="D137" s="36" t="n">
        <f aca="false">Regions!K17</f>
        <v>8</v>
      </c>
      <c r="E137" s="14" t="s">
        <v>260</v>
      </c>
      <c r="F137" s="37" t="n">
        <f aca="false">Assumptions!$C$7</f>
        <v>15</v>
      </c>
      <c r="G137" s="16" t="n">
        <f aca="false">D137*F137</f>
        <v>120</v>
      </c>
      <c r="H137" s="38" t="n">
        <f aca="false">G137*Assumptions!$C$5</f>
        <v>33240</v>
      </c>
      <c r="I137" s="35" t="s">
        <v>261</v>
      </c>
    </row>
    <row r="138" customFormat="false" ht="15" hidden="false" customHeight="false" outlineLevel="0" collapsed="false">
      <c r="A138" s="14" t="n">
        <v>3</v>
      </c>
      <c r="B138" s="14" t="s">
        <v>11</v>
      </c>
      <c r="C138" s="35" t="s">
        <v>410</v>
      </c>
      <c r="D138" s="36" t="n">
        <f aca="false">Regions!L17</f>
        <v>2</v>
      </c>
      <c r="E138" s="14" t="s">
        <v>72</v>
      </c>
      <c r="F138" s="37" t="n">
        <f aca="false">Assumptions!$C$9</f>
        <v>15</v>
      </c>
      <c r="G138" s="16" t="n">
        <f aca="false">D138*F138</f>
        <v>30</v>
      </c>
      <c r="H138" s="38" t="n">
        <f aca="false">G138*Assumptions!$C$5</f>
        <v>8310</v>
      </c>
      <c r="I138" s="35" t="s">
        <v>263</v>
      </c>
    </row>
    <row r="139" customFormat="false" ht="15" hidden="false" customHeight="false" outlineLevel="0" collapsed="false">
      <c r="A139" s="14" t="n">
        <v>3</v>
      </c>
      <c r="B139" s="14" t="s">
        <v>11</v>
      </c>
      <c r="C139" s="35" t="s">
        <v>411</v>
      </c>
      <c r="D139" s="36" t="n">
        <f aca="false">Regions!M17</f>
        <v>4</v>
      </c>
      <c r="E139" s="14" t="s">
        <v>72</v>
      </c>
      <c r="F139" s="37" t="n">
        <f aca="false">Assumptions!$C$8</f>
        <v>25</v>
      </c>
      <c r="G139" s="16" t="n">
        <f aca="false">D139*F139</f>
        <v>100</v>
      </c>
      <c r="H139" s="38" t="n">
        <f aca="false">G139*Assumptions!$C$5</f>
        <v>27700</v>
      </c>
      <c r="I139" s="35" t="s">
        <v>265</v>
      </c>
    </row>
    <row r="140" customFormat="false" ht="15" hidden="false" customHeight="false" outlineLevel="0" collapsed="false">
      <c r="A140" s="14" t="n">
        <v>3</v>
      </c>
      <c r="B140" s="14" t="s">
        <v>11</v>
      </c>
      <c r="C140" s="35" t="s">
        <v>412</v>
      </c>
      <c r="D140" s="36" t="n">
        <f aca="false">Regions!J17</f>
        <v>4</v>
      </c>
      <c r="E140" s="14" t="s">
        <v>267</v>
      </c>
      <c r="F140" s="37" t="n">
        <f aca="false">Assumptions!$C$22</f>
        <v>8</v>
      </c>
      <c r="G140" s="16" t="n">
        <f aca="false">D140*F140</f>
        <v>32</v>
      </c>
      <c r="H140" s="38" t="n">
        <f aca="false">G140*Assumptions!$C$5</f>
        <v>8864</v>
      </c>
      <c r="I140" s="35" t="s">
        <v>268</v>
      </c>
    </row>
    <row r="141" customFormat="false" ht="15" hidden="false" customHeight="false" outlineLevel="0" collapsed="false">
      <c r="A141" s="14" t="n">
        <v>3</v>
      </c>
      <c r="B141" s="14" t="s">
        <v>11</v>
      </c>
      <c r="C141" s="35" t="s">
        <v>413</v>
      </c>
      <c r="D141" s="36" t="n">
        <f aca="false">Regions!D17</f>
        <v>1</v>
      </c>
      <c r="E141" s="14" t="s">
        <v>287</v>
      </c>
      <c r="F141" s="37" t="n">
        <f aca="false">Regions!E17/Assumptions!$C$5</f>
        <v>32.4909747292419</v>
      </c>
      <c r="G141" s="16" t="n">
        <f aca="false">D141*F141</f>
        <v>32.4909747292419</v>
      </c>
      <c r="H141" s="38" t="n">
        <f aca="false">G141*Assumptions!$C$5</f>
        <v>9000</v>
      </c>
      <c r="I141" s="35" t="s">
        <v>288</v>
      </c>
    </row>
    <row r="142" customFormat="false" ht="15" hidden="false" customHeight="false" outlineLevel="0" collapsed="false">
      <c r="A142" s="14" t="n">
        <v>3</v>
      </c>
      <c r="B142" s="14" t="s">
        <v>11</v>
      </c>
      <c r="C142" s="35" t="s">
        <v>414</v>
      </c>
      <c r="D142" s="36" t="n">
        <f aca="false">ROUNDUP(Regions!D17/Assumptions!$C$20,0)*Regions!N17</f>
        <v>5</v>
      </c>
      <c r="E142" s="14" t="s">
        <v>270</v>
      </c>
      <c r="F142" s="37" t="n">
        <f aca="false">Assumptions!$C$19</f>
        <v>35</v>
      </c>
      <c r="G142" s="16" t="n">
        <f aca="false">D142*F142</f>
        <v>175</v>
      </c>
      <c r="H142" s="38" t="n">
        <f aca="false">G142*Assumptions!$C$5</f>
        <v>48475</v>
      </c>
      <c r="I142" s="35" t="s">
        <v>271</v>
      </c>
    </row>
    <row r="143" customFormat="false" ht="15" hidden="false" customHeight="false" outlineLevel="0" collapsed="false">
      <c r="A143" s="14" t="n">
        <v>3</v>
      </c>
      <c r="B143" s="14" t="s">
        <v>11</v>
      </c>
      <c r="C143" s="35" t="s">
        <v>415</v>
      </c>
      <c r="D143" s="36" t="n">
        <f aca="false">Regions!D17*Regions!N17</f>
        <v>5</v>
      </c>
      <c r="E143" s="14" t="s">
        <v>273</v>
      </c>
      <c r="F143" s="37" t="n">
        <f aca="false">Assumptions!$C$21</f>
        <v>10</v>
      </c>
      <c r="G143" s="16" t="n">
        <f aca="false">D143*F143</f>
        <v>50</v>
      </c>
      <c r="H143" s="38" t="n">
        <f aca="false">G143*Assumptions!$C$5</f>
        <v>13850</v>
      </c>
      <c r="I143" s="35" t="s">
        <v>274</v>
      </c>
    </row>
    <row r="144" customFormat="false" ht="15" hidden="false" customHeight="false" outlineLevel="0" collapsed="false">
      <c r="A144" s="14" t="n">
        <v>3</v>
      </c>
      <c r="B144" s="14" t="s">
        <v>12</v>
      </c>
      <c r="C144" s="35" t="s">
        <v>416</v>
      </c>
      <c r="D144" s="36" t="n">
        <f aca="false">Regions!C17*Assumptions!$C$13*Assumptions!$C$15/60</f>
        <v>8.33333333333333</v>
      </c>
      <c r="E144" s="14" t="s">
        <v>140</v>
      </c>
      <c r="F144" s="37" t="n">
        <f aca="false">Assumptions!$C$17</f>
        <v>12</v>
      </c>
      <c r="G144" s="16" t="n">
        <f aca="false">D144*F144</f>
        <v>100</v>
      </c>
      <c r="H144" s="38" t="n">
        <f aca="false">G144*Assumptions!$C$5</f>
        <v>27700</v>
      </c>
      <c r="I144" s="35" t="s">
        <v>276</v>
      </c>
    </row>
    <row r="145" customFormat="false" ht="15" hidden="false" customHeight="false" outlineLevel="0" collapsed="false">
      <c r="A145" s="14" t="n">
        <v>3</v>
      </c>
      <c r="B145" s="14" t="s">
        <v>12</v>
      </c>
      <c r="C145" s="35" t="s">
        <v>417</v>
      </c>
      <c r="D145" s="36" t="n">
        <f aca="false">Regions!C17*Assumptions!$C$14</f>
        <v>12</v>
      </c>
      <c r="E145" s="14" t="s">
        <v>76</v>
      </c>
      <c r="F145" s="37" t="n">
        <f aca="false">Assumptions!$C$16/Assumptions!$C$5</f>
        <v>1.80505415162455</v>
      </c>
      <c r="G145" s="16" t="n">
        <f aca="false">D145*F145</f>
        <v>21.6606498194946</v>
      </c>
      <c r="H145" s="38" t="n">
        <f aca="false">G145*Assumptions!$C$5</f>
        <v>6000</v>
      </c>
      <c r="I145" s="35" t="s">
        <v>278</v>
      </c>
    </row>
    <row r="146" customFormat="false" ht="15" hidden="false" customHeight="false" outlineLevel="0" collapsed="false">
      <c r="A146" s="14" t="n">
        <v>3</v>
      </c>
      <c r="B146" s="14" t="s">
        <v>12</v>
      </c>
      <c r="C146" s="35" t="s">
        <v>418</v>
      </c>
      <c r="D146" s="36" t="n">
        <f aca="false">Regions!C17*Assumptions!$C$13</f>
        <v>20</v>
      </c>
      <c r="E146" s="14" t="s">
        <v>76</v>
      </c>
      <c r="F146" s="37" t="n">
        <f aca="false">Assumptions!$C$28</f>
        <v>0.15</v>
      </c>
      <c r="G146" s="16" t="n">
        <f aca="false">D146*F146</f>
        <v>3</v>
      </c>
      <c r="H146" s="38" t="n">
        <f aca="false">G146*Assumptions!$C$5</f>
        <v>831</v>
      </c>
      <c r="I146" s="35"/>
    </row>
    <row r="147" customFormat="false" ht="15" hidden="false" customHeight="false" outlineLevel="0" collapsed="false">
      <c r="A147" s="14" t="n">
        <v>3</v>
      </c>
      <c r="B147" s="14" t="s">
        <v>13</v>
      </c>
      <c r="C147" s="35" t="s">
        <v>419</v>
      </c>
      <c r="D147" s="36" t="n">
        <f aca="false">Regions!C17*Assumptions!$C$18</f>
        <v>2</v>
      </c>
      <c r="E147" s="14" t="s">
        <v>72</v>
      </c>
      <c r="F147" s="37" t="n">
        <f aca="false">Assumptions!$C$7</f>
        <v>15</v>
      </c>
      <c r="G147" s="16" t="n">
        <f aca="false">D147*F147</f>
        <v>30</v>
      </c>
      <c r="H147" s="38" t="n">
        <f aca="false">G147*Assumptions!$C$5</f>
        <v>8310</v>
      </c>
      <c r="I147" s="35" t="s">
        <v>281</v>
      </c>
    </row>
    <row r="148" customFormat="false" ht="25.35" hidden="false" customHeight="false" outlineLevel="0" collapsed="false">
      <c r="A148" s="34" t="n">
        <v>1</v>
      </c>
      <c r="B148" s="14" t="s">
        <v>14</v>
      </c>
      <c r="C148" s="35" t="s">
        <v>420</v>
      </c>
      <c r="D148" s="39" t="n">
        <v>1</v>
      </c>
      <c r="E148" s="14" t="s">
        <v>421</v>
      </c>
      <c r="F148" s="37" t="n">
        <f aca="false">Assumptions!$C$25</f>
        <v>1450</v>
      </c>
      <c r="G148" s="16" t="n">
        <f aca="false">D148*F148</f>
        <v>1450</v>
      </c>
      <c r="H148" s="38" t="n">
        <f aca="false">G148*Assumptions!$C$5</f>
        <v>401650</v>
      </c>
      <c r="I148" s="35" t="s">
        <v>422</v>
      </c>
    </row>
    <row r="149" customFormat="false" ht="15" hidden="false" customHeight="false" outlineLevel="0" collapsed="false">
      <c r="A149" s="14" t="n">
        <v>2</v>
      </c>
      <c r="B149" s="14" t="s">
        <v>14</v>
      </c>
      <c r="C149" s="35" t="s">
        <v>423</v>
      </c>
      <c r="D149" s="39" t="n">
        <v>1</v>
      </c>
      <c r="E149" s="14" t="s">
        <v>421</v>
      </c>
      <c r="F149" s="37" t="n">
        <f aca="false">Assumptions!$C$25</f>
        <v>1450</v>
      </c>
      <c r="G149" s="16" t="n">
        <f aca="false">D149*F149</f>
        <v>1450</v>
      </c>
      <c r="H149" s="38" t="n">
        <f aca="false">G149*Assumptions!$C$5</f>
        <v>401650</v>
      </c>
      <c r="I149" s="35" t="s">
        <v>186</v>
      </c>
    </row>
    <row r="150" customFormat="false" ht="15" hidden="false" customHeight="false" outlineLevel="0" collapsed="false">
      <c r="A150" s="14" t="n">
        <v>2</v>
      </c>
      <c r="B150" s="14" t="s">
        <v>14</v>
      </c>
      <c r="C150" s="35" t="s">
        <v>424</v>
      </c>
      <c r="D150" s="36" t="n">
        <f aca="false">SUMPRODUCT((Regions!A5:A17=2)*(Regions!N5:N17))*Assumptions!$C$26</f>
        <v>15.5</v>
      </c>
      <c r="E150" s="14" t="s">
        <v>425</v>
      </c>
      <c r="F150" s="37" t="n">
        <f aca="false">Assumptions!$C$19+Assumptions!$C$21</f>
        <v>45</v>
      </c>
      <c r="G150" s="16" t="n">
        <f aca="false">D150*F150</f>
        <v>697.5</v>
      </c>
      <c r="H150" s="38" t="n">
        <f aca="false">G150*Assumptions!$C$5</f>
        <v>193207.5</v>
      </c>
      <c r="I150" s="35" t="s">
        <v>426</v>
      </c>
    </row>
    <row r="151" customFormat="false" ht="15" hidden="false" customHeight="false" outlineLevel="0" collapsed="false">
      <c r="A151" s="14" t="n">
        <v>3</v>
      </c>
      <c r="B151" s="14" t="s">
        <v>14</v>
      </c>
      <c r="C151" s="35" t="s">
        <v>424</v>
      </c>
      <c r="D151" s="36" t="n">
        <f aca="false">SUMPRODUCT((Regions!A5:A17=3)*(Regions!N5:N17))*Assumptions!$C$26</f>
        <v>13</v>
      </c>
      <c r="E151" s="14" t="s">
        <v>425</v>
      </c>
      <c r="F151" s="37" t="n">
        <f aca="false">Assumptions!$C$19+Assumptions!$C$21</f>
        <v>45</v>
      </c>
      <c r="G151" s="16" t="n">
        <f aca="false">D151*F151</f>
        <v>585</v>
      </c>
      <c r="H151" s="38" t="n">
        <f aca="false">G151*Assumptions!$C$5</f>
        <v>162045</v>
      </c>
      <c r="I151" s="35" t="s">
        <v>426</v>
      </c>
    </row>
    <row r="152" customFormat="false" ht="15" hidden="false" customHeight="false" outlineLevel="0" collapsed="false">
      <c r="A152" s="14" t="n">
        <v>3</v>
      </c>
      <c r="B152" s="14" t="s">
        <v>14</v>
      </c>
      <c r="C152" s="35" t="s">
        <v>427</v>
      </c>
      <c r="D152" s="39" t="n">
        <v>2</v>
      </c>
      <c r="E152" s="14" t="s">
        <v>366</v>
      </c>
      <c r="F152" s="37" t="n">
        <f aca="false">Assumptions!$C$24</f>
        <v>90</v>
      </c>
      <c r="G152" s="16" t="n">
        <f aca="false">D152*F152</f>
        <v>180</v>
      </c>
      <c r="H152" s="38" t="n">
        <f aca="false">G152*Assumptions!$C$5</f>
        <v>49860</v>
      </c>
      <c r="I152" s="35"/>
    </row>
    <row r="153" customFormat="false" ht="37.3" hidden="false" customHeight="false" outlineLevel="0" collapsed="false">
      <c r="A153" s="34" t="n">
        <v>1</v>
      </c>
      <c r="B153" s="14" t="s">
        <v>15</v>
      </c>
      <c r="C153" s="35" t="s">
        <v>428</v>
      </c>
      <c r="D153" s="39" t="n">
        <v>3</v>
      </c>
      <c r="E153" s="14" t="s">
        <v>429</v>
      </c>
      <c r="F153" s="40" t="n">
        <v>0</v>
      </c>
      <c r="G153" s="16" t="n">
        <f aca="false">D153*F153</f>
        <v>0</v>
      </c>
      <c r="H153" s="38" t="n">
        <f aca="false">G153*Assumptions!$C$5</f>
        <v>0</v>
      </c>
      <c r="I153" s="35" t="s">
        <v>430</v>
      </c>
    </row>
    <row r="154" customFormat="false" ht="15" hidden="false" customHeight="false" outlineLevel="0" collapsed="false">
      <c r="A154" s="34" t="n">
        <v>1</v>
      </c>
      <c r="B154" s="14" t="s">
        <v>15</v>
      </c>
      <c r="C154" s="35" t="s">
        <v>431</v>
      </c>
      <c r="D154" s="36" t="n">
        <f aca="false">3*Assumptions!$C$30</f>
        <v>6</v>
      </c>
      <c r="E154" s="14" t="s">
        <v>72</v>
      </c>
      <c r="F154" s="37" t="n">
        <f aca="false">Assumptions!$C$29</f>
        <v>45</v>
      </c>
      <c r="G154" s="16" t="n">
        <f aca="false">D154*F154</f>
        <v>270</v>
      </c>
      <c r="H154" s="38" t="n">
        <f aca="false">G154*Assumptions!$C$5</f>
        <v>74790</v>
      </c>
      <c r="I154" s="35"/>
    </row>
    <row r="155" customFormat="false" ht="15" hidden="false" customHeight="false" outlineLevel="0" collapsed="false">
      <c r="A155" s="34" t="n">
        <v>1</v>
      </c>
      <c r="B155" s="14" t="s">
        <v>15</v>
      </c>
      <c r="C155" s="35" t="s">
        <v>432</v>
      </c>
      <c r="D155" s="36" t="n">
        <f aca="false">3*Assumptions!$C$30*2</f>
        <v>12</v>
      </c>
      <c r="E155" s="14" t="s">
        <v>260</v>
      </c>
      <c r="F155" s="37" t="n">
        <f aca="false">Assumptions!$C$7</f>
        <v>15</v>
      </c>
      <c r="G155" s="16" t="n">
        <f aca="false">D155*F155</f>
        <v>180</v>
      </c>
      <c r="H155" s="38" t="n">
        <f aca="false">G155*Assumptions!$C$5</f>
        <v>49860</v>
      </c>
      <c r="I155" s="35" t="s">
        <v>433</v>
      </c>
    </row>
    <row r="156" customFormat="false" ht="15" hidden="false" customHeight="false" outlineLevel="0" collapsed="false">
      <c r="A156" s="34" t="n">
        <v>1</v>
      </c>
      <c r="B156" s="14" t="s">
        <v>15</v>
      </c>
      <c r="C156" s="35" t="s">
        <v>434</v>
      </c>
      <c r="D156" s="39" t="n">
        <v>3</v>
      </c>
      <c r="E156" s="14" t="s">
        <v>429</v>
      </c>
      <c r="F156" s="37" t="n">
        <f aca="false">Assumptions!$C$31/Assumptions!$C$5</f>
        <v>36.101083032491</v>
      </c>
      <c r="G156" s="16" t="n">
        <f aca="false">D156*F156</f>
        <v>108.303249097473</v>
      </c>
      <c r="H156" s="38" t="n">
        <f aca="false">G156*Assumptions!$C$5</f>
        <v>30000</v>
      </c>
      <c r="I156" s="35" t="s">
        <v>435</v>
      </c>
    </row>
    <row r="157" customFormat="false" ht="15" hidden="false" customHeight="false" outlineLevel="0" collapsed="false">
      <c r="A157" s="34" t="n">
        <v>1</v>
      </c>
      <c r="B157" s="14" t="s">
        <v>15</v>
      </c>
      <c r="C157" s="35" t="s">
        <v>436</v>
      </c>
      <c r="D157" s="36" t="n">
        <f aca="false">3*Assumptions!$C$32</f>
        <v>6</v>
      </c>
      <c r="E157" s="14" t="s">
        <v>140</v>
      </c>
      <c r="F157" s="37" t="n">
        <f aca="false">Assumptions!$C$17</f>
        <v>12</v>
      </c>
      <c r="G157" s="16" t="n">
        <f aca="false">D157*F157</f>
        <v>72</v>
      </c>
      <c r="H157" s="38" t="n">
        <f aca="false">G157*Assumptions!$C$5</f>
        <v>19944</v>
      </c>
      <c r="I157" s="35"/>
    </row>
    <row r="158" customFormat="false" ht="15" hidden="false" customHeight="false" outlineLevel="0" collapsed="false">
      <c r="A158" s="34" t="n">
        <v>1</v>
      </c>
      <c r="B158" s="14" t="s">
        <v>15</v>
      </c>
      <c r="C158" s="35" t="s">
        <v>437</v>
      </c>
      <c r="D158" s="36" t="n">
        <f aca="false">3*Assumptions!$C$30</f>
        <v>6</v>
      </c>
      <c r="E158" s="14" t="s">
        <v>72</v>
      </c>
      <c r="F158" s="37" t="n">
        <f aca="false">Assumptions!$C$22*2</f>
        <v>16</v>
      </c>
      <c r="G158" s="16" t="n">
        <f aca="false">D158*F158</f>
        <v>96</v>
      </c>
      <c r="H158" s="38" t="n">
        <f aca="false">G158*Assumptions!$C$5</f>
        <v>26592</v>
      </c>
      <c r="I158" s="35" t="s">
        <v>438</v>
      </c>
    </row>
    <row r="159" customFormat="false" ht="25.35" hidden="false" customHeight="false" outlineLevel="0" collapsed="false">
      <c r="A159" s="14" t="n">
        <v>2</v>
      </c>
      <c r="B159" s="14" t="s">
        <v>15</v>
      </c>
      <c r="C159" s="35" t="s">
        <v>439</v>
      </c>
      <c r="D159" s="39" t="n">
        <v>4</v>
      </c>
      <c r="E159" s="14" t="s">
        <v>429</v>
      </c>
      <c r="F159" s="40" t="n">
        <v>0</v>
      </c>
      <c r="G159" s="16" t="n">
        <f aca="false">D159*F159</f>
        <v>0</v>
      </c>
      <c r="H159" s="38" t="n">
        <f aca="false">G159*Assumptions!$C$5</f>
        <v>0</v>
      </c>
      <c r="I159" s="35" t="s">
        <v>430</v>
      </c>
    </row>
    <row r="160" customFormat="false" ht="15" hidden="false" customHeight="false" outlineLevel="0" collapsed="false">
      <c r="A160" s="14" t="n">
        <v>2</v>
      </c>
      <c r="B160" s="14" t="s">
        <v>15</v>
      </c>
      <c r="C160" s="35" t="s">
        <v>431</v>
      </c>
      <c r="D160" s="36" t="n">
        <f aca="false">4*Assumptions!$C$30</f>
        <v>8</v>
      </c>
      <c r="E160" s="14" t="s">
        <v>72</v>
      </c>
      <c r="F160" s="37" t="n">
        <f aca="false">Assumptions!$C$29</f>
        <v>45</v>
      </c>
      <c r="G160" s="16" t="n">
        <f aca="false">D160*F160</f>
        <v>360</v>
      </c>
      <c r="H160" s="38" t="n">
        <f aca="false">G160*Assumptions!$C$5</f>
        <v>99720</v>
      </c>
      <c r="I160" s="35"/>
    </row>
    <row r="161" customFormat="false" ht="15" hidden="false" customHeight="false" outlineLevel="0" collapsed="false">
      <c r="A161" s="14" t="n">
        <v>2</v>
      </c>
      <c r="B161" s="14" t="s">
        <v>15</v>
      </c>
      <c r="C161" s="35" t="s">
        <v>432</v>
      </c>
      <c r="D161" s="36" t="n">
        <f aca="false">4*Assumptions!$C$30*2</f>
        <v>16</v>
      </c>
      <c r="E161" s="14" t="s">
        <v>260</v>
      </c>
      <c r="F161" s="37" t="n">
        <f aca="false">Assumptions!$C$7</f>
        <v>15</v>
      </c>
      <c r="G161" s="16" t="n">
        <f aca="false">D161*F161</f>
        <v>240</v>
      </c>
      <c r="H161" s="38" t="n">
        <f aca="false">G161*Assumptions!$C$5</f>
        <v>66480</v>
      </c>
      <c r="I161" s="35" t="s">
        <v>433</v>
      </c>
    </row>
    <row r="162" customFormat="false" ht="15" hidden="false" customHeight="false" outlineLevel="0" collapsed="false">
      <c r="A162" s="14" t="n">
        <v>2</v>
      </c>
      <c r="B162" s="14" t="s">
        <v>15</v>
      </c>
      <c r="C162" s="35" t="s">
        <v>434</v>
      </c>
      <c r="D162" s="39" t="n">
        <v>4</v>
      </c>
      <c r="E162" s="14" t="s">
        <v>429</v>
      </c>
      <c r="F162" s="37" t="n">
        <f aca="false">Assumptions!$C$31/Assumptions!$C$5</f>
        <v>36.101083032491</v>
      </c>
      <c r="G162" s="16" t="n">
        <f aca="false">D162*F162</f>
        <v>144.404332129964</v>
      </c>
      <c r="H162" s="38" t="n">
        <f aca="false">G162*Assumptions!$C$5</f>
        <v>40000</v>
      </c>
      <c r="I162" s="35" t="s">
        <v>435</v>
      </c>
    </row>
    <row r="163" customFormat="false" ht="15" hidden="false" customHeight="false" outlineLevel="0" collapsed="false">
      <c r="A163" s="14" t="n">
        <v>2</v>
      </c>
      <c r="B163" s="14" t="s">
        <v>15</v>
      </c>
      <c r="C163" s="35" t="s">
        <v>436</v>
      </c>
      <c r="D163" s="36" t="n">
        <f aca="false">4*Assumptions!$C$32</f>
        <v>8</v>
      </c>
      <c r="E163" s="14" t="s">
        <v>140</v>
      </c>
      <c r="F163" s="37" t="n">
        <f aca="false">Assumptions!$C$17</f>
        <v>12</v>
      </c>
      <c r="G163" s="16" t="n">
        <f aca="false">D163*F163</f>
        <v>96</v>
      </c>
      <c r="H163" s="38" t="n">
        <f aca="false">G163*Assumptions!$C$5</f>
        <v>26592</v>
      </c>
      <c r="I163" s="35"/>
    </row>
    <row r="164" customFormat="false" ht="15" hidden="false" customHeight="false" outlineLevel="0" collapsed="false">
      <c r="A164" s="14" t="n">
        <v>2</v>
      </c>
      <c r="B164" s="14" t="s">
        <v>15</v>
      </c>
      <c r="C164" s="35" t="s">
        <v>437</v>
      </c>
      <c r="D164" s="36" t="n">
        <f aca="false">4*Assumptions!$C$30</f>
        <v>8</v>
      </c>
      <c r="E164" s="14" t="s">
        <v>72</v>
      </c>
      <c r="F164" s="37" t="n">
        <f aca="false">Assumptions!$C$22*2</f>
        <v>16</v>
      </c>
      <c r="G164" s="16" t="n">
        <f aca="false">D164*F164</f>
        <v>128</v>
      </c>
      <c r="H164" s="38" t="n">
        <f aca="false">G164*Assumptions!$C$5</f>
        <v>35456</v>
      </c>
      <c r="I164" s="35" t="s">
        <v>438</v>
      </c>
    </row>
    <row r="165" customFormat="false" ht="25.35" hidden="false" customHeight="false" outlineLevel="0" collapsed="false">
      <c r="A165" s="14" t="n">
        <v>3</v>
      </c>
      <c r="B165" s="14" t="s">
        <v>15</v>
      </c>
      <c r="C165" s="35" t="s">
        <v>440</v>
      </c>
      <c r="D165" s="39" t="n">
        <v>3</v>
      </c>
      <c r="E165" s="14" t="s">
        <v>429</v>
      </c>
      <c r="F165" s="40" t="n">
        <v>0</v>
      </c>
      <c r="G165" s="16" t="n">
        <f aca="false">D165*F165</f>
        <v>0</v>
      </c>
      <c r="H165" s="38" t="n">
        <f aca="false">G165*Assumptions!$C$5</f>
        <v>0</v>
      </c>
      <c r="I165" s="35" t="s">
        <v>430</v>
      </c>
    </row>
    <row r="166" customFormat="false" ht="15" hidden="false" customHeight="false" outlineLevel="0" collapsed="false">
      <c r="A166" s="14" t="n">
        <v>3</v>
      </c>
      <c r="B166" s="14" t="s">
        <v>15</v>
      </c>
      <c r="C166" s="35" t="s">
        <v>431</v>
      </c>
      <c r="D166" s="36" t="n">
        <f aca="false">3*Assumptions!$C$30</f>
        <v>6</v>
      </c>
      <c r="E166" s="14" t="s">
        <v>72</v>
      </c>
      <c r="F166" s="37" t="n">
        <f aca="false">Assumptions!$C$29</f>
        <v>45</v>
      </c>
      <c r="G166" s="16" t="n">
        <f aca="false">D166*F166</f>
        <v>270</v>
      </c>
      <c r="H166" s="38" t="n">
        <f aca="false">G166*Assumptions!$C$5</f>
        <v>74790</v>
      </c>
      <c r="I166" s="35"/>
    </row>
    <row r="167" customFormat="false" ht="15" hidden="false" customHeight="false" outlineLevel="0" collapsed="false">
      <c r="A167" s="14" t="n">
        <v>3</v>
      </c>
      <c r="B167" s="14" t="s">
        <v>15</v>
      </c>
      <c r="C167" s="35" t="s">
        <v>432</v>
      </c>
      <c r="D167" s="36" t="n">
        <f aca="false">3*Assumptions!$C$30*2</f>
        <v>12</v>
      </c>
      <c r="E167" s="14" t="s">
        <v>260</v>
      </c>
      <c r="F167" s="37" t="n">
        <f aca="false">Assumptions!$C$7</f>
        <v>15</v>
      </c>
      <c r="G167" s="16" t="n">
        <f aca="false">D167*F167</f>
        <v>180</v>
      </c>
      <c r="H167" s="38" t="n">
        <f aca="false">G167*Assumptions!$C$5</f>
        <v>49860</v>
      </c>
      <c r="I167" s="35" t="s">
        <v>433</v>
      </c>
    </row>
    <row r="168" customFormat="false" ht="15" hidden="false" customHeight="false" outlineLevel="0" collapsed="false">
      <c r="A168" s="14" t="n">
        <v>3</v>
      </c>
      <c r="B168" s="14" t="s">
        <v>15</v>
      </c>
      <c r="C168" s="35" t="s">
        <v>434</v>
      </c>
      <c r="D168" s="39" t="n">
        <v>3</v>
      </c>
      <c r="E168" s="14" t="s">
        <v>429</v>
      </c>
      <c r="F168" s="37" t="n">
        <f aca="false">Assumptions!$C$31/Assumptions!$C$5</f>
        <v>36.101083032491</v>
      </c>
      <c r="G168" s="16" t="n">
        <f aca="false">D168*F168</f>
        <v>108.303249097473</v>
      </c>
      <c r="H168" s="38" t="n">
        <f aca="false">G168*Assumptions!$C$5</f>
        <v>30000</v>
      </c>
      <c r="I168" s="35" t="s">
        <v>435</v>
      </c>
    </row>
    <row r="169" customFormat="false" ht="15" hidden="false" customHeight="false" outlineLevel="0" collapsed="false">
      <c r="A169" s="14" t="n">
        <v>3</v>
      </c>
      <c r="B169" s="14" t="s">
        <v>15</v>
      </c>
      <c r="C169" s="35" t="s">
        <v>436</v>
      </c>
      <c r="D169" s="36" t="n">
        <f aca="false">3*Assumptions!$C$32</f>
        <v>6</v>
      </c>
      <c r="E169" s="14" t="s">
        <v>140</v>
      </c>
      <c r="F169" s="37" t="n">
        <f aca="false">Assumptions!$C$17</f>
        <v>12</v>
      </c>
      <c r="G169" s="16" t="n">
        <f aca="false">D169*F169</f>
        <v>72</v>
      </c>
      <c r="H169" s="38" t="n">
        <f aca="false">G169*Assumptions!$C$5</f>
        <v>19944</v>
      </c>
      <c r="I169" s="35"/>
    </row>
    <row r="170" customFormat="false" ht="15" hidden="false" customHeight="false" outlineLevel="0" collapsed="false">
      <c r="A170" s="14" t="n">
        <v>3</v>
      </c>
      <c r="B170" s="14" t="s">
        <v>15</v>
      </c>
      <c r="C170" s="35" t="s">
        <v>437</v>
      </c>
      <c r="D170" s="36" t="n">
        <f aca="false">3*Assumptions!$C$30</f>
        <v>6</v>
      </c>
      <c r="E170" s="14" t="s">
        <v>72</v>
      </c>
      <c r="F170" s="37" t="n">
        <f aca="false">Assumptions!$C$22*2</f>
        <v>16</v>
      </c>
      <c r="G170" s="16" t="n">
        <f aca="false">D170*F170</f>
        <v>96</v>
      </c>
      <c r="H170" s="38" t="n">
        <f aca="false">G170*Assumptions!$C$5</f>
        <v>26592</v>
      </c>
      <c r="I170" s="35" t="s">
        <v>438</v>
      </c>
    </row>
    <row r="171" customFormat="false" ht="15" hidden="false" customHeight="false" outlineLevel="0" collapsed="false">
      <c r="A171" s="34" t="n">
        <v>1</v>
      </c>
      <c r="B171" s="14" t="s">
        <v>16</v>
      </c>
      <c r="C171" s="35" t="s">
        <v>441</v>
      </c>
      <c r="D171" s="39" t="n">
        <v>10</v>
      </c>
      <c r="E171" s="14" t="s">
        <v>442</v>
      </c>
      <c r="F171" s="40" t="n">
        <v>0</v>
      </c>
      <c r="G171" s="16" t="n">
        <f aca="false">D171*F171</f>
        <v>0</v>
      </c>
      <c r="H171" s="38" t="n">
        <f aca="false">G171*Assumptions!$C$5</f>
        <v>0</v>
      </c>
      <c r="I171" s="35" t="s">
        <v>443</v>
      </c>
    </row>
    <row r="172" customFormat="false" ht="15" hidden="false" customHeight="false" outlineLevel="0" collapsed="false">
      <c r="A172" s="34" t="n">
        <v>1</v>
      </c>
      <c r="B172" s="14" t="s">
        <v>16</v>
      </c>
      <c r="C172" s="35" t="s">
        <v>444</v>
      </c>
      <c r="D172" s="36" t="n">
        <f aca="false">10*1.5</f>
        <v>15</v>
      </c>
      <c r="E172" s="14" t="s">
        <v>140</v>
      </c>
      <c r="F172" s="37" t="n">
        <f aca="false">Assumptions!$C$17</f>
        <v>12</v>
      </c>
      <c r="G172" s="16" t="n">
        <f aca="false">D172*F172</f>
        <v>180</v>
      </c>
      <c r="H172" s="38" t="n">
        <f aca="false">G172*Assumptions!$C$5</f>
        <v>49860</v>
      </c>
      <c r="I172" s="35"/>
    </row>
    <row r="173" customFormat="false" ht="15" hidden="false" customHeight="false" outlineLevel="0" collapsed="false">
      <c r="A173" s="14" t="n">
        <v>2</v>
      </c>
      <c r="B173" s="14" t="s">
        <v>16</v>
      </c>
      <c r="C173" s="35" t="s">
        <v>441</v>
      </c>
      <c r="D173" s="39" t="n">
        <v>10</v>
      </c>
      <c r="E173" s="14" t="s">
        <v>442</v>
      </c>
      <c r="F173" s="40" t="n">
        <v>0</v>
      </c>
      <c r="G173" s="16" t="n">
        <f aca="false">D173*F173</f>
        <v>0</v>
      </c>
      <c r="H173" s="38" t="n">
        <f aca="false">G173*Assumptions!$C$5</f>
        <v>0</v>
      </c>
      <c r="I173" s="35" t="s">
        <v>443</v>
      </c>
    </row>
    <row r="174" customFormat="false" ht="15" hidden="false" customHeight="false" outlineLevel="0" collapsed="false">
      <c r="A174" s="14" t="n">
        <v>2</v>
      </c>
      <c r="B174" s="14" t="s">
        <v>16</v>
      </c>
      <c r="C174" s="35" t="s">
        <v>444</v>
      </c>
      <c r="D174" s="36" t="n">
        <f aca="false">10*1.5</f>
        <v>15</v>
      </c>
      <c r="E174" s="14" t="s">
        <v>140</v>
      </c>
      <c r="F174" s="37" t="n">
        <f aca="false">Assumptions!$C$17</f>
        <v>12</v>
      </c>
      <c r="G174" s="16" t="n">
        <f aca="false">D174*F174</f>
        <v>180</v>
      </c>
      <c r="H174" s="38" t="n">
        <f aca="false">G174*Assumptions!$C$5</f>
        <v>49860</v>
      </c>
      <c r="I174" s="35"/>
    </row>
    <row r="175" customFormat="false" ht="15" hidden="false" customHeight="false" outlineLevel="0" collapsed="false">
      <c r="A175" s="14" t="n">
        <v>3</v>
      </c>
      <c r="B175" s="14" t="s">
        <v>16</v>
      </c>
      <c r="C175" s="35" t="s">
        <v>441</v>
      </c>
      <c r="D175" s="39" t="n">
        <v>8</v>
      </c>
      <c r="E175" s="14" t="s">
        <v>442</v>
      </c>
      <c r="F175" s="40" t="n">
        <v>0</v>
      </c>
      <c r="G175" s="16" t="n">
        <f aca="false">D175*F175</f>
        <v>0</v>
      </c>
      <c r="H175" s="38" t="n">
        <f aca="false">G175*Assumptions!$C$5</f>
        <v>0</v>
      </c>
      <c r="I175" s="35" t="s">
        <v>443</v>
      </c>
    </row>
    <row r="176" customFormat="false" ht="15" hidden="false" customHeight="false" outlineLevel="0" collapsed="false">
      <c r="A176" s="14" t="n">
        <v>3</v>
      </c>
      <c r="B176" s="14" t="s">
        <v>16</v>
      </c>
      <c r="C176" s="35" t="s">
        <v>444</v>
      </c>
      <c r="D176" s="36" t="n">
        <f aca="false">8*1.5</f>
        <v>12</v>
      </c>
      <c r="E176" s="14" t="s">
        <v>140</v>
      </c>
      <c r="F176" s="37" t="n">
        <f aca="false">Assumptions!$C$17</f>
        <v>12</v>
      </c>
      <c r="G176" s="16" t="n">
        <f aca="false">D176*F176</f>
        <v>144</v>
      </c>
      <c r="H176" s="38" t="n">
        <f aca="false">G176*Assumptions!$C$5</f>
        <v>39888</v>
      </c>
      <c r="I176" s="35"/>
    </row>
    <row r="177" customFormat="false" ht="25.35" hidden="false" customHeight="false" outlineLevel="0" collapsed="false">
      <c r="A177" s="34" t="n">
        <v>1</v>
      </c>
      <c r="B177" s="14" t="s">
        <v>17</v>
      </c>
      <c r="C177" s="35" t="s">
        <v>445</v>
      </c>
      <c r="D177" s="39" t="n">
        <v>30</v>
      </c>
      <c r="E177" s="14" t="s">
        <v>446</v>
      </c>
      <c r="F177" s="40" t="n">
        <v>0</v>
      </c>
      <c r="G177" s="16" t="n">
        <f aca="false">D177*F177</f>
        <v>0</v>
      </c>
      <c r="H177" s="38" t="n">
        <f aca="false">G177*Assumptions!$C$5</f>
        <v>0</v>
      </c>
      <c r="I177" s="35" t="s">
        <v>430</v>
      </c>
    </row>
    <row r="178" customFormat="false" ht="15" hidden="false" customHeight="false" outlineLevel="0" collapsed="false">
      <c r="A178" s="34" t="n">
        <v>1</v>
      </c>
      <c r="B178" s="14" t="s">
        <v>17</v>
      </c>
      <c r="C178" s="35" t="s">
        <v>447</v>
      </c>
      <c r="D178" s="36" t="n">
        <f aca="false">30*Assumptions!$C$37</f>
        <v>15</v>
      </c>
      <c r="E178" s="14" t="s">
        <v>446</v>
      </c>
      <c r="F178" s="37" t="n">
        <f aca="false">Assumptions!$C$36</f>
        <v>8</v>
      </c>
      <c r="G178" s="16" t="n">
        <f aca="false">D178*F178</f>
        <v>120</v>
      </c>
      <c r="H178" s="38" t="n">
        <f aca="false">G178*Assumptions!$C$5</f>
        <v>33240</v>
      </c>
      <c r="I178" s="35"/>
    </row>
    <row r="179" customFormat="false" ht="15" hidden="false" customHeight="false" outlineLevel="0" collapsed="false">
      <c r="A179" s="34" t="n">
        <v>1</v>
      </c>
      <c r="B179" s="14" t="s">
        <v>17</v>
      </c>
      <c r="C179" s="35" t="s">
        <v>448</v>
      </c>
      <c r="D179" s="36" t="n">
        <f aca="false">30*(1-Assumptions!$C$37)</f>
        <v>15</v>
      </c>
      <c r="E179" s="14" t="s">
        <v>446</v>
      </c>
      <c r="F179" s="37" t="n">
        <f aca="false">Assumptions!$C$38</f>
        <v>3</v>
      </c>
      <c r="G179" s="16" t="n">
        <f aca="false">D179*F179</f>
        <v>45</v>
      </c>
      <c r="H179" s="38" t="n">
        <f aca="false">G179*Assumptions!$C$5</f>
        <v>12465</v>
      </c>
      <c r="I179" s="35"/>
    </row>
    <row r="180" customFormat="false" ht="15" hidden="false" customHeight="false" outlineLevel="0" collapsed="false">
      <c r="A180" s="34" t="n">
        <v>1</v>
      </c>
      <c r="B180" s="14" t="s">
        <v>17</v>
      </c>
      <c r="C180" s="35" t="s">
        <v>449</v>
      </c>
      <c r="D180" s="36" t="n">
        <f aca="false">ROUNDUP(30*Assumptions!$C$33/Assumptions!$C$34,0)</f>
        <v>9</v>
      </c>
      <c r="E180" s="14" t="s">
        <v>72</v>
      </c>
      <c r="F180" s="37" t="n">
        <f aca="false">Assumptions!$C$35</f>
        <v>15</v>
      </c>
      <c r="G180" s="16" t="n">
        <f aca="false">D180*F180</f>
        <v>135</v>
      </c>
      <c r="H180" s="38" t="n">
        <f aca="false">G180*Assumptions!$C$5</f>
        <v>37395</v>
      </c>
      <c r="I180" s="35"/>
    </row>
    <row r="181" customFormat="false" ht="15" hidden="false" customHeight="false" outlineLevel="0" collapsed="false">
      <c r="A181" s="34" t="n">
        <v>1</v>
      </c>
      <c r="B181" s="14" t="s">
        <v>17</v>
      </c>
      <c r="C181" s="35" t="s">
        <v>450</v>
      </c>
      <c r="D181" s="39" t="n">
        <v>30</v>
      </c>
      <c r="E181" s="14" t="s">
        <v>446</v>
      </c>
      <c r="F181" s="37" t="n">
        <f aca="false">Assumptions!$C$39</f>
        <v>2</v>
      </c>
      <c r="G181" s="16" t="n">
        <f aca="false">D181*F181</f>
        <v>60</v>
      </c>
      <c r="H181" s="38" t="n">
        <f aca="false">G181*Assumptions!$C$5</f>
        <v>16620</v>
      </c>
      <c r="I181" s="35" t="s">
        <v>451</v>
      </c>
    </row>
    <row r="182" customFormat="false" ht="15" hidden="false" customHeight="false" outlineLevel="0" collapsed="false">
      <c r="A182" s="34" t="n">
        <v>1</v>
      </c>
      <c r="B182" s="14" t="s">
        <v>17</v>
      </c>
      <c r="C182" s="35" t="s">
        <v>452</v>
      </c>
      <c r="D182" s="36" t="n">
        <f aca="false">30*Assumptions!$C$40</f>
        <v>9.9</v>
      </c>
      <c r="E182" s="14" t="s">
        <v>72</v>
      </c>
      <c r="F182" s="37" t="n">
        <f aca="false">Assumptions!$C$7</f>
        <v>15</v>
      </c>
      <c r="G182" s="16" t="n">
        <f aca="false">D182*F182</f>
        <v>148.5</v>
      </c>
      <c r="H182" s="38" t="n">
        <f aca="false">G182*Assumptions!$C$5</f>
        <v>41134.5</v>
      </c>
      <c r="I182" s="35"/>
    </row>
    <row r="183" customFormat="false" ht="25.35" hidden="false" customHeight="false" outlineLevel="0" collapsed="false">
      <c r="A183" s="14" t="n">
        <v>2</v>
      </c>
      <c r="B183" s="14" t="s">
        <v>17</v>
      </c>
      <c r="C183" s="35" t="s">
        <v>453</v>
      </c>
      <c r="D183" s="39" t="n">
        <v>60</v>
      </c>
      <c r="E183" s="14" t="s">
        <v>446</v>
      </c>
      <c r="F183" s="40" t="n">
        <v>0</v>
      </c>
      <c r="G183" s="16" t="n">
        <f aca="false">D183*F183</f>
        <v>0</v>
      </c>
      <c r="H183" s="38" t="n">
        <f aca="false">G183*Assumptions!$C$5</f>
        <v>0</v>
      </c>
      <c r="I183" s="35" t="s">
        <v>430</v>
      </c>
    </row>
    <row r="184" customFormat="false" ht="15" hidden="false" customHeight="false" outlineLevel="0" collapsed="false">
      <c r="A184" s="14" t="n">
        <v>2</v>
      </c>
      <c r="B184" s="14" t="s">
        <v>17</v>
      </c>
      <c r="C184" s="35" t="s">
        <v>447</v>
      </c>
      <c r="D184" s="36" t="n">
        <f aca="false">60*Assumptions!$C$37</f>
        <v>30</v>
      </c>
      <c r="E184" s="14" t="s">
        <v>446</v>
      </c>
      <c r="F184" s="37" t="n">
        <f aca="false">Assumptions!$C$36</f>
        <v>8</v>
      </c>
      <c r="G184" s="16" t="n">
        <f aca="false">D184*F184</f>
        <v>240</v>
      </c>
      <c r="H184" s="38" t="n">
        <f aca="false">G184*Assumptions!$C$5</f>
        <v>66480</v>
      </c>
      <c r="I184" s="35"/>
    </row>
    <row r="185" customFormat="false" ht="15" hidden="false" customHeight="false" outlineLevel="0" collapsed="false">
      <c r="A185" s="14" t="n">
        <v>2</v>
      </c>
      <c r="B185" s="14" t="s">
        <v>17</v>
      </c>
      <c r="C185" s="35" t="s">
        <v>448</v>
      </c>
      <c r="D185" s="36" t="n">
        <f aca="false">60*(1-Assumptions!$C$37)</f>
        <v>30</v>
      </c>
      <c r="E185" s="14" t="s">
        <v>446</v>
      </c>
      <c r="F185" s="37" t="n">
        <f aca="false">Assumptions!$C$38</f>
        <v>3</v>
      </c>
      <c r="G185" s="16" t="n">
        <f aca="false">D185*F185</f>
        <v>90</v>
      </c>
      <c r="H185" s="38" t="n">
        <f aca="false">G185*Assumptions!$C$5</f>
        <v>24930</v>
      </c>
      <c r="I185" s="35"/>
    </row>
    <row r="186" customFormat="false" ht="15" hidden="false" customHeight="false" outlineLevel="0" collapsed="false">
      <c r="A186" s="14" t="n">
        <v>2</v>
      </c>
      <c r="B186" s="14" t="s">
        <v>17</v>
      </c>
      <c r="C186" s="35" t="s">
        <v>449</v>
      </c>
      <c r="D186" s="36" t="n">
        <f aca="false">ROUNDUP(60*Assumptions!$C$33/Assumptions!$C$34,0)</f>
        <v>18</v>
      </c>
      <c r="E186" s="14" t="s">
        <v>72</v>
      </c>
      <c r="F186" s="37" t="n">
        <f aca="false">Assumptions!$C$35</f>
        <v>15</v>
      </c>
      <c r="G186" s="16" t="n">
        <f aca="false">D186*F186</f>
        <v>270</v>
      </c>
      <c r="H186" s="38" t="n">
        <f aca="false">G186*Assumptions!$C$5</f>
        <v>74790</v>
      </c>
      <c r="I186" s="35"/>
    </row>
    <row r="187" customFormat="false" ht="15" hidden="false" customHeight="false" outlineLevel="0" collapsed="false">
      <c r="A187" s="14" t="n">
        <v>2</v>
      </c>
      <c r="B187" s="14" t="s">
        <v>17</v>
      </c>
      <c r="C187" s="35" t="s">
        <v>450</v>
      </c>
      <c r="D187" s="39" t="n">
        <v>60</v>
      </c>
      <c r="E187" s="14" t="s">
        <v>446</v>
      </c>
      <c r="F187" s="37" t="n">
        <f aca="false">Assumptions!$C$39</f>
        <v>2</v>
      </c>
      <c r="G187" s="16" t="n">
        <f aca="false">D187*F187</f>
        <v>120</v>
      </c>
      <c r="H187" s="38" t="n">
        <f aca="false">G187*Assumptions!$C$5</f>
        <v>33240</v>
      </c>
      <c r="I187" s="35" t="s">
        <v>451</v>
      </c>
    </row>
    <row r="188" customFormat="false" ht="15" hidden="false" customHeight="false" outlineLevel="0" collapsed="false">
      <c r="A188" s="14" t="n">
        <v>2</v>
      </c>
      <c r="B188" s="14" t="s">
        <v>17</v>
      </c>
      <c r="C188" s="35" t="s">
        <v>452</v>
      </c>
      <c r="D188" s="36" t="n">
        <f aca="false">60*Assumptions!$C$40</f>
        <v>19.8</v>
      </c>
      <c r="E188" s="14" t="s">
        <v>72</v>
      </c>
      <c r="F188" s="37" t="n">
        <f aca="false">Assumptions!$C$7</f>
        <v>15</v>
      </c>
      <c r="G188" s="16" t="n">
        <f aca="false">D188*F188</f>
        <v>297</v>
      </c>
      <c r="H188" s="38" t="n">
        <f aca="false">G188*Assumptions!$C$5</f>
        <v>82269</v>
      </c>
      <c r="I188" s="35"/>
    </row>
    <row r="189" customFormat="false" ht="15" hidden="false" customHeight="false" outlineLevel="0" collapsed="false">
      <c r="A189" s="14" t="n">
        <v>3</v>
      </c>
      <c r="B189" s="14" t="s">
        <v>17</v>
      </c>
      <c r="C189" s="35" t="s">
        <v>454</v>
      </c>
      <c r="D189" s="39" t="n">
        <v>60</v>
      </c>
      <c r="E189" s="14" t="s">
        <v>446</v>
      </c>
      <c r="F189" s="40" t="n">
        <v>0</v>
      </c>
      <c r="G189" s="16" t="n">
        <f aca="false">D189*F189</f>
        <v>0</v>
      </c>
      <c r="H189" s="38" t="n">
        <f aca="false">G189*Assumptions!$C$5</f>
        <v>0</v>
      </c>
      <c r="I189" s="35" t="s">
        <v>430</v>
      </c>
    </row>
    <row r="190" customFormat="false" ht="15" hidden="false" customHeight="false" outlineLevel="0" collapsed="false">
      <c r="A190" s="14" t="n">
        <v>3</v>
      </c>
      <c r="B190" s="14" t="s">
        <v>17</v>
      </c>
      <c r="C190" s="35" t="s">
        <v>447</v>
      </c>
      <c r="D190" s="36" t="n">
        <f aca="false">60*Assumptions!$C$37</f>
        <v>30</v>
      </c>
      <c r="E190" s="14" t="s">
        <v>446</v>
      </c>
      <c r="F190" s="37" t="n">
        <f aca="false">Assumptions!$C$36</f>
        <v>8</v>
      </c>
      <c r="G190" s="16" t="n">
        <f aca="false">D190*F190</f>
        <v>240</v>
      </c>
      <c r="H190" s="38" t="n">
        <f aca="false">G190*Assumptions!$C$5</f>
        <v>66480</v>
      </c>
      <c r="I190" s="35"/>
    </row>
    <row r="191" customFormat="false" ht="15" hidden="false" customHeight="false" outlineLevel="0" collapsed="false">
      <c r="A191" s="14" t="n">
        <v>3</v>
      </c>
      <c r="B191" s="14" t="s">
        <v>17</v>
      </c>
      <c r="C191" s="35" t="s">
        <v>448</v>
      </c>
      <c r="D191" s="36" t="n">
        <f aca="false">60*(1-Assumptions!$C$37)</f>
        <v>30</v>
      </c>
      <c r="E191" s="14" t="s">
        <v>446</v>
      </c>
      <c r="F191" s="37" t="n">
        <f aca="false">Assumptions!$C$38</f>
        <v>3</v>
      </c>
      <c r="G191" s="16" t="n">
        <f aca="false">D191*F191</f>
        <v>90</v>
      </c>
      <c r="H191" s="38" t="n">
        <f aca="false">G191*Assumptions!$C$5</f>
        <v>24930</v>
      </c>
      <c r="I191" s="35"/>
    </row>
    <row r="192" customFormat="false" ht="15" hidden="false" customHeight="false" outlineLevel="0" collapsed="false">
      <c r="A192" s="14" t="n">
        <v>3</v>
      </c>
      <c r="B192" s="14" t="s">
        <v>17</v>
      </c>
      <c r="C192" s="35" t="s">
        <v>449</v>
      </c>
      <c r="D192" s="36" t="n">
        <f aca="false">ROUNDUP(60*Assumptions!$C$33/Assumptions!$C$34,0)</f>
        <v>18</v>
      </c>
      <c r="E192" s="14" t="s">
        <v>72</v>
      </c>
      <c r="F192" s="37" t="n">
        <f aca="false">Assumptions!$C$35</f>
        <v>15</v>
      </c>
      <c r="G192" s="16" t="n">
        <f aca="false">D192*F192</f>
        <v>270</v>
      </c>
      <c r="H192" s="38" t="n">
        <f aca="false">G192*Assumptions!$C$5</f>
        <v>74790</v>
      </c>
      <c r="I192" s="35"/>
    </row>
    <row r="193" customFormat="false" ht="15" hidden="false" customHeight="false" outlineLevel="0" collapsed="false">
      <c r="A193" s="14" t="n">
        <v>3</v>
      </c>
      <c r="B193" s="14" t="s">
        <v>17</v>
      </c>
      <c r="C193" s="35" t="s">
        <v>450</v>
      </c>
      <c r="D193" s="39" t="n">
        <v>60</v>
      </c>
      <c r="E193" s="14" t="s">
        <v>446</v>
      </c>
      <c r="F193" s="37" t="n">
        <f aca="false">Assumptions!$C$39</f>
        <v>2</v>
      </c>
      <c r="G193" s="16" t="n">
        <f aca="false">D193*F193</f>
        <v>120</v>
      </c>
      <c r="H193" s="38" t="n">
        <f aca="false">G193*Assumptions!$C$5</f>
        <v>33240</v>
      </c>
      <c r="I193" s="35" t="s">
        <v>451</v>
      </c>
    </row>
    <row r="194" customFormat="false" ht="15" hidden="false" customHeight="false" outlineLevel="0" collapsed="false">
      <c r="A194" s="14" t="n">
        <v>3</v>
      </c>
      <c r="B194" s="14" t="s">
        <v>17</v>
      </c>
      <c r="C194" s="35" t="s">
        <v>452</v>
      </c>
      <c r="D194" s="36" t="n">
        <f aca="false">60*Assumptions!$C$40</f>
        <v>19.8</v>
      </c>
      <c r="E194" s="14" t="s">
        <v>72</v>
      </c>
      <c r="F194" s="37" t="n">
        <f aca="false">Assumptions!$C$7</f>
        <v>15</v>
      </c>
      <c r="G194" s="16" t="n">
        <f aca="false">D194*F194</f>
        <v>297</v>
      </c>
      <c r="H194" s="38" t="n">
        <f aca="false">G194*Assumptions!$C$5</f>
        <v>82269</v>
      </c>
      <c r="I194" s="35"/>
    </row>
    <row r="195" customFormat="false" ht="15" hidden="false" customHeight="false" outlineLevel="0" collapsed="false">
      <c r="A195" s="34" t="n">
        <v>1</v>
      </c>
      <c r="B195" s="14" t="s">
        <v>18</v>
      </c>
      <c r="C195" s="35" t="s">
        <v>168</v>
      </c>
      <c r="D195" s="39" t="n">
        <v>1</v>
      </c>
      <c r="E195" s="14" t="s">
        <v>455</v>
      </c>
      <c r="F195" s="37" t="n">
        <f aca="false">Assumptions!$C$41/Assumptions!$C$5</f>
        <v>653.429602888087</v>
      </c>
      <c r="G195" s="16" t="n">
        <f aca="false">D195*F195</f>
        <v>653.429602888087</v>
      </c>
      <c r="H195" s="38" t="n">
        <f aca="false">G195*Assumptions!$C$5</f>
        <v>181000</v>
      </c>
      <c r="I195" s="35" t="s">
        <v>456</v>
      </c>
    </row>
    <row r="196" customFormat="false" ht="15" hidden="false" customHeight="false" outlineLevel="0" collapsed="false">
      <c r="A196" s="34" t="n">
        <v>1</v>
      </c>
      <c r="B196" s="14" t="s">
        <v>18</v>
      </c>
      <c r="C196" s="35" t="s">
        <v>171</v>
      </c>
      <c r="D196" s="39" t="n">
        <v>1</v>
      </c>
      <c r="E196" s="14" t="s">
        <v>455</v>
      </c>
      <c r="F196" s="37" t="n">
        <f aca="false">Assumptions!$C$42</f>
        <v>350</v>
      </c>
      <c r="G196" s="16" t="n">
        <f aca="false">D196*F196</f>
        <v>350</v>
      </c>
      <c r="H196" s="38" t="n">
        <f aca="false">G196*Assumptions!$C$5</f>
        <v>96950</v>
      </c>
      <c r="I196" s="35"/>
    </row>
    <row r="197" customFormat="false" ht="15" hidden="false" customHeight="false" outlineLevel="0" collapsed="false">
      <c r="A197" s="34" t="n">
        <v>1</v>
      </c>
      <c r="B197" s="14" t="s">
        <v>18</v>
      </c>
      <c r="C197" s="35" t="s">
        <v>457</v>
      </c>
      <c r="D197" s="39" t="n">
        <v>1</v>
      </c>
      <c r="E197" s="14" t="s">
        <v>458</v>
      </c>
      <c r="F197" s="37" t="n">
        <f aca="false">Assumptions!$C$43</f>
        <v>60</v>
      </c>
      <c r="G197" s="16" t="n">
        <f aca="false">D197*F197</f>
        <v>60</v>
      </c>
      <c r="H197" s="38" t="n">
        <f aca="false">G197*Assumptions!$C$5</f>
        <v>16620</v>
      </c>
      <c r="I197" s="35"/>
    </row>
    <row r="198" customFormat="false" ht="15" hidden="false" customHeight="false" outlineLevel="0" collapsed="false">
      <c r="A198" s="34" t="n">
        <v>1</v>
      </c>
      <c r="B198" s="14" t="s">
        <v>18</v>
      </c>
      <c r="C198" s="35" t="s">
        <v>459</v>
      </c>
      <c r="D198" s="39" t="n">
        <v>1</v>
      </c>
      <c r="E198" s="14" t="s">
        <v>458</v>
      </c>
      <c r="F198" s="37" t="n">
        <f aca="false">Assumptions!$C$44</f>
        <v>220</v>
      </c>
      <c r="G198" s="16" t="n">
        <f aca="false">D198*F198</f>
        <v>220</v>
      </c>
      <c r="H198" s="38" t="n">
        <f aca="false">G198*Assumptions!$C$5</f>
        <v>60940</v>
      </c>
      <c r="I198" s="35"/>
    </row>
    <row r="199" customFormat="false" ht="15" hidden="false" customHeight="false" outlineLevel="0" collapsed="false">
      <c r="A199" s="34" t="n">
        <v>1</v>
      </c>
      <c r="B199" s="14" t="s">
        <v>18</v>
      </c>
      <c r="C199" s="35" t="s">
        <v>179</v>
      </c>
      <c r="D199" s="39" t="n">
        <v>1</v>
      </c>
      <c r="E199" s="14" t="s">
        <v>458</v>
      </c>
      <c r="F199" s="37" t="n">
        <f aca="false">Assumptions!$C$45</f>
        <v>80</v>
      </c>
      <c r="G199" s="16" t="n">
        <f aca="false">D199*F199</f>
        <v>80</v>
      </c>
      <c r="H199" s="38" t="n">
        <f aca="false">G199*Assumptions!$C$5</f>
        <v>22160</v>
      </c>
      <c r="I199" s="35"/>
    </row>
    <row r="200" customFormat="false" ht="15" hidden="false" customHeight="false" outlineLevel="0" collapsed="false">
      <c r="A200" s="14" t="n">
        <v>2</v>
      </c>
      <c r="B200" s="14" t="s">
        <v>18</v>
      </c>
      <c r="C200" s="35" t="s">
        <v>460</v>
      </c>
      <c r="D200" s="39" t="n">
        <v>1</v>
      </c>
      <c r="E200" s="14" t="s">
        <v>458</v>
      </c>
      <c r="F200" s="37" t="n">
        <f aca="false">Assumptions!$C$42+Assumptions!$C$43+Assumptions!$C$45</f>
        <v>490</v>
      </c>
      <c r="G200" s="16" t="n">
        <f aca="false">D200*F200</f>
        <v>490</v>
      </c>
      <c r="H200" s="38" t="n">
        <f aca="false">G200*Assumptions!$C$5</f>
        <v>135730</v>
      </c>
      <c r="I200" s="35" t="s">
        <v>461</v>
      </c>
    </row>
    <row r="201" customFormat="false" ht="15" hidden="false" customHeight="false" outlineLevel="0" collapsed="false">
      <c r="A201" s="14" t="n">
        <v>3</v>
      </c>
      <c r="B201" s="14" t="s">
        <v>18</v>
      </c>
      <c r="C201" s="35" t="s">
        <v>462</v>
      </c>
      <c r="D201" s="39" t="n">
        <v>1</v>
      </c>
      <c r="E201" s="14" t="s">
        <v>458</v>
      </c>
      <c r="F201" s="37" t="n">
        <f aca="false">Assumptions!$C$46</f>
        <v>1100</v>
      </c>
      <c r="G201" s="16" t="n">
        <f aca="false">D201*F201</f>
        <v>1100</v>
      </c>
      <c r="H201" s="38" t="n">
        <f aca="false">G201*Assumptions!$C$5</f>
        <v>304700</v>
      </c>
      <c r="I201" s="35"/>
    </row>
    <row r="202" customFormat="false" ht="15" hidden="false" customHeight="false" outlineLevel="0" collapsed="false">
      <c r="A202" s="34" t="n">
        <v>1</v>
      </c>
      <c r="B202" s="14" t="s">
        <v>19</v>
      </c>
      <c r="C202" s="35" t="s">
        <v>463</v>
      </c>
      <c r="D202" s="36" t="n">
        <f aca="false">6*3</f>
        <v>18</v>
      </c>
      <c r="E202" s="14" t="s">
        <v>464</v>
      </c>
      <c r="F202" s="37" t="n">
        <f aca="false">Assumptions!$C$27</f>
        <v>5</v>
      </c>
      <c r="G202" s="16" t="n">
        <f aca="false">D202*F202</f>
        <v>90</v>
      </c>
      <c r="H202" s="38" t="n">
        <f aca="false">G202*Assumptions!$C$5</f>
        <v>24930</v>
      </c>
      <c r="I202" s="35" t="s">
        <v>465</v>
      </c>
    </row>
    <row r="203" customFormat="false" ht="15" hidden="false" customHeight="false" outlineLevel="0" collapsed="false">
      <c r="A203" s="34" t="n">
        <v>1</v>
      </c>
      <c r="B203" s="14" t="s">
        <v>19</v>
      </c>
      <c r="C203" s="35" t="s">
        <v>466</v>
      </c>
      <c r="D203" s="39" t="n">
        <v>1</v>
      </c>
      <c r="E203" s="14" t="s">
        <v>467</v>
      </c>
      <c r="F203" s="37" t="n">
        <f aca="false">Assumptions!$C$47</f>
        <v>80</v>
      </c>
      <c r="G203" s="16" t="n">
        <f aca="false">D203*F203</f>
        <v>80</v>
      </c>
      <c r="H203" s="38" t="n">
        <f aca="false">G203*Assumptions!$C$5</f>
        <v>22160</v>
      </c>
      <c r="I203" s="35" t="s">
        <v>186</v>
      </c>
    </row>
    <row r="204" customFormat="false" ht="15" hidden="false" customHeight="false" outlineLevel="0" collapsed="false">
      <c r="A204" s="14" t="n">
        <v>2</v>
      </c>
      <c r="B204" s="14" t="s">
        <v>19</v>
      </c>
      <c r="C204" s="35" t="s">
        <v>463</v>
      </c>
      <c r="D204" s="36" t="n">
        <f aca="false">4*6</f>
        <v>24</v>
      </c>
      <c r="E204" s="14" t="s">
        <v>464</v>
      </c>
      <c r="F204" s="37" t="n">
        <f aca="false">Assumptions!$C$27</f>
        <v>5</v>
      </c>
      <c r="G204" s="16" t="n">
        <f aca="false">D204*F204</f>
        <v>120</v>
      </c>
      <c r="H204" s="38" t="n">
        <f aca="false">G204*Assumptions!$C$5</f>
        <v>33240</v>
      </c>
      <c r="I204" s="35" t="s">
        <v>468</v>
      </c>
    </row>
    <row r="205" customFormat="false" ht="15" hidden="false" customHeight="false" outlineLevel="0" collapsed="false">
      <c r="A205" s="14" t="n">
        <v>2</v>
      </c>
      <c r="B205" s="14" t="s">
        <v>19</v>
      </c>
      <c r="C205" s="35" t="s">
        <v>466</v>
      </c>
      <c r="D205" s="39" t="n">
        <v>1</v>
      </c>
      <c r="E205" s="14" t="s">
        <v>467</v>
      </c>
      <c r="F205" s="37" t="n">
        <f aca="false">Assumptions!$C$47</f>
        <v>80</v>
      </c>
      <c r="G205" s="16" t="n">
        <f aca="false">D205*F205</f>
        <v>80</v>
      </c>
      <c r="H205" s="38" t="n">
        <f aca="false">G205*Assumptions!$C$5</f>
        <v>22160</v>
      </c>
      <c r="I205" s="35" t="s">
        <v>186</v>
      </c>
    </row>
    <row r="206" customFormat="false" ht="15" hidden="false" customHeight="false" outlineLevel="0" collapsed="false">
      <c r="A206" s="14" t="n">
        <v>3</v>
      </c>
      <c r="B206" s="14" t="s">
        <v>19</v>
      </c>
      <c r="C206" s="35" t="s">
        <v>463</v>
      </c>
      <c r="D206" s="36" t="n">
        <f aca="false">3*6</f>
        <v>18</v>
      </c>
      <c r="E206" s="14" t="s">
        <v>464</v>
      </c>
      <c r="F206" s="37" t="n">
        <f aca="false">Assumptions!$C$27</f>
        <v>5</v>
      </c>
      <c r="G206" s="16" t="n">
        <f aca="false">D206*F206</f>
        <v>90</v>
      </c>
      <c r="H206" s="38" t="n">
        <f aca="false">G206*Assumptions!$C$5</f>
        <v>24930</v>
      </c>
      <c r="I206" s="35" t="s">
        <v>469</v>
      </c>
    </row>
    <row r="207" customFormat="false" ht="15" hidden="false" customHeight="false" outlineLevel="0" collapsed="false">
      <c r="A207" s="14" t="n">
        <v>3</v>
      </c>
      <c r="B207" s="14" t="s">
        <v>19</v>
      </c>
      <c r="C207" s="35" t="s">
        <v>466</v>
      </c>
      <c r="D207" s="39" t="n">
        <v>1</v>
      </c>
      <c r="E207" s="14" t="s">
        <v>467</v>
      </c>
      <c r="F207" s="37" t="n">
        <f aca="false">Assumptions!$C$47</f>
        <v>80</v>
      </c>
      <c r="G207" s="16" t="n">
        <f aca="false">D207*F207</f>
        <v>80</v>
      </c>
      <c r="H207" s="38" t="n">
        <f aca="false">G207*Assumptions!$C$5</f>
        <v>22160</v>
      </c>
      <c r="I207" s="35" t="s">
        <v>186</v>
      </c>
    </row>
    <row r="208" customFormat="false" ht="15" hidden="false" customHeight="false" outlineLevel="0" collapsed="false">
      <c r="A208" s="14" t="n">
        <v>3</v>
      </c>
      <c r="B208" s="14" t="s">
        <v>19</v>
      </c>
      <c r="C208" s="35" t="s">
        <v>470</v>
      </c>
      <c r="D208" s="36" t="n">
        <f aca="false">Assumptions!$C$49</f>
        <v>10</v>
      </c>
      <c r="E208" s="14" t="s">
        <v>72</v>
      </c>
      <c r="F208" s="37" t="n">
        <f aca="false">Assumptions!$C$7</f>
        <v>15</v>
      </c>
      <c r="G208" s="16" t="n">
        <f aca="false">D208*F208</f>
        <v>150</v>
      </c>
      <c r="H208" s="38" t="n">
        <f aca="false">G208*Assumptions!$C$5</f>
        <v>41550</v>
      </c>
      <c r="I208" s="35" t="s">
        <v>471</v>
      </c>
    </row>
    <row r="209" customFormat="false" ht="15" hidden="false" customHeight="false" outlineLevel="0" collapsed="false">
      <c r="A209" s="14" t="n">
        <v>2</v>
      </c>
      <c r="B209" s="14" t="s">
        <v>20</v>
      </c>
      <c r="C209" s="35" t="s">
        <v>188</v>
      </c>
      <c r="D209" s="39" t="n">
        <v>1</v>
      </c>
      <c r="E209" s="14" t="s">
        <v>472</v>
      </c>
      <c r="F209" s="37" t="n">
        <f aca="false">Assumptions!$C$48</f>
        <v>250</v>
      </c>
      <c r="G209" s="16" t="n">
        <f aca="false">D209*F209</f>
        <v>250</v>
      </c>
      <c r="H209" s="38" t="n">
        <f aca="false">G209*Assumptions!$C$5</f>
        <v>69250</v>
      </c>
      <c r="I209" s="35"/>
    </row>
    <row r="210" customFormat="false" ht="15" hidden="false" customHeight="false" outlineLevel="0" collapsed="false">
      <c r="A210" s="14" t="n">
        <v>3</v>
      </c>
      <c r="B210" s="14" t="s">
        <v>20</v>
      </c>
      <c r="C210" s="35" t="s">
        <v>473</v>
      </c>
      <c r="D210" s="39" t="n">
        <v>1</v>
      </c>
      <c r="E210" s="14" t="s">
        <v>472</v>
      </c>
      <c r="F210" s="37" t="n">
        <f aca="false">Assumptions!$C$48</f>
        <v>250</v>
      </c>
      <c r="G210" s="16" t="n">
        <f aca="false">D210*F210</f>
        <v>250</v>
      </c>
      <c r="H210" s="38" t="n">
        <f aca="false">G210*Assumptions!$C$5</f>
        <v>69250</v>
      </c>
      <c r="I210" s="35"/>
    </row>
    <row r="211" customFormat="false" ht="15" hidden="false" customHeight="false" outlineLevel="0" collapsed="false">
      <c r="C211" s="13" t="s">
        <v>474</v>
      </c>
      <c r="G211" s="41" t="n">
        <f aca="false">SUM(G5:G210)</f>
        <v>28575.655234657</v>
      </c>
    </row>
  </sheetData>
  <autoFilter ref="A4:I2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20" t="s">
        <v>475</v>
      </c>
    </row>
    <row r="3" customFormat="false" ht="15" hidden="false" customHeight="false" outlineLevel="0" collapsed="false">
      <c r="A3" s="5" t="s">
        <v>476</v>
      </c>
      <c r="B3" s="5" t="s">
        <v>477</v>
      </c>
      <c r="C3" s="5" t="s">
        <v>478</v>
      </c>
    </row>
    <row r="4" customFormat="false" ht="15" hidden="false" customHeight="false" outlineLevel="0" collapsed="false">
      <c r="A4" s="21" t="s">
        <v>479</v>
      </c>
      <c r="B4" s="21" t="s">
        <v>480</v>
      </c>
      <c r="C4" s="21" t="s">
        <v>481</v>
      </c>
    </row>
    <row r="5" customFormat="false" ht="25.35" hidden="false" customHeight="false" outlineLevel="0" collapsed="false">
      <c r="A5" s="21" t="s">
        <v>482</v>
      </c>
      <c r="B5" s="21" t="s">
        <v>483</v>
      </c>
      <c r="C5" s="21" t="s">
        <v>484</v>
      </c>
    </row>
    <row r="6" customFormat="false" ht="25.35" hidden="false" customHeight="false" outlineLevel="0" collapsed="false">
      <c r="A6" s="21" t="s">
        <v>485</v>
      </c>
      <c r="B6" s="21" t="s">
        <v>486</v>
      </c>
      <c r="C6" s="21" t="s">
        <v>487</v>
      </c>
    </row>
    <row r="7" customFormat="false" ht="15" hidden="false" customHeight="false" outlineLevel="0" collapsed="false">
      <c r="A7" s="21" t="s">
        <v>488</v>
      </c>
      <c r="B7" s="21" t="s">
        <v>489</v>
      </c>
      <c r="C7" s="21" t="s">
        <v>490</v>
      </c>
    </row>
    <row r="8" customFormat="false" ht="15" hidden="false" customHeight="false" outlineLevel="0" collapsed="false">
      <c r="A8" s="21" t="s">
        <v>491</v>
      </c>
      <c r="B8" s="21" t="s">
        <v>492</v>
      </c>
      <c r="C8" s="21" t="s">
        <v>493</v>
      </c>
    </row>
    <row r="9" customFormat="false" ht="15" hidden="false" customHeight="false" outlineLevel="0" collapsed="false">
      <c r="A9" s="21" t="s">
        <v>494</v>
      </c>
      <c r="B9" s="21" t="s">
        <v>495</v>
      </c>
      <c r="C9" s="21" t="s">
        <v>496</v>
      </c>
    </row>
    <row r="10" customFormat="false" ht="15" hidden="false" customHeight="false" outlineLevel="0" collapsed="false">
      <c r="A10" s="21" t="s">
        <v>497</v>
      </c>
      <c r="B10" s="21" t="s">
        <v>498</v>
      </c>
      <c r="C10" s="21" t="s">
        <v>499</v>
      </c>
    </row>
    <row r="11" customFormat="false" ht="15" hidden="false" customHeight="false" outlineLevel="0" collapsed="false">
      <c r="A11" s="21" t="s">
        <v>500</v>
      </c>
      <c r="B11" s="21" t="s">
        <v>501</v>
      </c>
      <c r="C11" s="21" t="s">
        <v>502</v>
      </c>
    </row>
    <row r="12" customFormat="false" ht="15" hidden="false" customHeight="false" outlineLevel="0" collapsed="false">
      <c r="A12" s="21" t="s">
        <v>503</v>
      </c>
      <c r="B12" s="21" t="s">
        <v>504</v>
      </c>
      <c r="C12" s="21" t="s">
        <v>505</v>
      </c>
    </row>
    <row r="13" customFormat="false" ht="15" hidden="false" customHeight="false" outlineLevel="0" collapsed="false">
      <c r="A13" s="21" t="s">
        <v>506</v>
      </c>
      <c r="B13" s="21" t="s">
        <v>507</v>
      </c>
      <c r="C13" s="21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2026-10-13T22:05:30Z</dcterms:created>
  <dc:creator>openpyxl</dc:creator>
  <dc:description/>
  <dc:language>en-US</dc:language>
  <cp:lastModifiedBy/>
  <dcterms:modified xsi:type="dcterms:W3CDTF">2026-10-13T22:05:30Z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